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ONZULTÁCIE\dimová\"/>
    </mc:Choice>
  </mc:AlternateContent>
  <xr:revisionPtr revIDLastSave="0" documentId="8_{2E025C40-CD1B-43DF-B6CA-277E3BED68FE}" xr6:coauthVersionLast="47" xr6:coauthVersionMax="47" xr10:uidLastSave="{00000000-0000-0000-0000-000000000000}"/>
  <bookViews>
    <workbookView xWindow="-120" yWindow="-120" windowWidth="29040" windowHeight="15840" xr2:uid="{6CDC9B25-F6A1-4C2E-BA63-E0147AA7B95A}"/>
  </bookViews>
  <sheets>
    <sheet name="1" sheetId="3" r:id="rId1"/>
  </sheets>
  <calcPr calcId="191029"/>
</workbook>
</file>

<file path=xl/calcChain.xml><?xml version="1.0" encoding="utf-8"?>
<calcChain xmlns="http://schemas.openxmlformats.org/spreadsheetml/2006/main">
  <c r="H57" i="3" l="1"/>
  <c r="H25" i="3"/>
  <c r="H6" i="3"/>
  <c r="H35" i="3"/>
  <c r="H53" i="3"/>
  <c r="H47" i="3"/>
  <c r="H41" i="3"/>
  <c r="H29" i="3"/>
  <c r="H18" i="3"/>
  <c r="H12" i="3"/>
</calcChain>
</file>

<file path=xl/sharedStrings.xml><?xml version="1.0" encoding="utf-8"?>
<sst xmlns="http://schemas.openxmlformats.org/spreadsheetml/2006/main" count="77" uniqueCount="62">
  <si>
    <t>ILUSTRAČNÉ FOTO</t>
  </si>
  <si>
    <t>Názov projektu:</t>
  </si>
  <si>
    <t>TYP PRODUKTU</t>
  </si>
  <si>
    <t>CENA S DPH SPOLU</t>
  </si>
  <si>
    <t>ks</t>
  </si>
  <si>
    <t>Dátum:</t>
  </si>
  <si>
    <t>Meno klienta:</t>
  </si>
  <si>
    <t>SPOLU:</t>
  </si>
  <si>
    <t>CENA S DPH / MJ</t>
  </si>
  <si>
    <t>MJ</t>
  </si>
  <si>
    <t>ZNAČKA</t>
  </si>
  <si>
    <t>svietidlo</t>
  </si>
  <si>
    <t xml:space="preserve"> </t>
  </si>
  <si>
    <t xml:space="preserve">   2.</t>
  </si>
  <si>
    <t xml:space="preserve">   3.</t>
  </si>
  <si>
    <t xml:space="preserve">   4.</t>
  </si>
  <si>
    <t xml:space="preserve">   5.</t>
  </si>
  <si>
    <t xml:space="preserve">   6.</t>
  </si>
  <si>
    <t xml:space="preserve">   1.</t>
  </si>
  <si>
    <t>DESIGN BOOK zariadenie</t>
  </si>
  <si>
    <t>záclona</t>
  </si>
  <si>
    <t>Diego</t>
  </si>
  <si>
    <t>VSTUPNÁ HALA / obytná</t>
  </si>
  <si>
    <t>81 x 90 x 43 cm</t>
  </si>
  <si>
    <t>biela</t>
  </si>
  <si>
    <r>
      <rPr>
        <sz val="10"/>
        <color indexed="9"/>
        <rFont val="Constantia"/>
        <family val="1"/>
        <charset val="238"/>
      </rPr>
      <t xml:space="preserve">                                                                                                                                                             
</t>
    </r>
    <r>
      <rPr>
        <b/>
        <sz val="10"/>
        <color indexed="9"/>
        <rFont val="Constantia"/>
        <family val="1"/>
        <charset val="238"/>
      </rPr>
      <t>D i za j n é r k a      p r o j e k t u</t>
    </r>
    <r>
      <rPr>
        <b/>
        <sz val="10"/>
        <color indexed="51"/>
        <rFont val="Constantia"/>
        <family val="1"/>
        <charset val="238"/>
      </rPr>
      <t xml:space="preserve"> </t>
    </r>
    <r>
      <rPr>
        <sz val="10"/>
        <color indexed="51"/>
        <rFont val="Constantia"/>
        <family val="1"/>
        <charset val="238"/>
      </rPr>
      <t xml:space="preserve">
</t>
    </r>
    <r>
      <rPr>
        <sz val="10"/>
        <color indexed="9"/>
        <rFont val="Constantia"/>
        <family val="1"/>
        <charset val="238"/>
      </rPr>
      <t>MIRIAM  CZOMPOLY</t>
    </r>
    <r>
      <rPr>
        <sz val="10"/>
        <color indexed="51"/>
        <rFont val="Constantia"/>
        <family val="1"/>
        <charset val="238"/>
      </rPr>
      <t xml:space="preserve">                           
</t>
    </r>
    <r>
      <rPr>
        <sz val="10"/>
        <color indexed="9"/>
        <rFont val="Constantia"/>
        <family val="1"/>
        <charset val="238"/>
      </rPr>
      <t>www.miriamczompoly.sk</t>
    </r>
    <r>
      <rPr>
        <sz val="10"/>
        <color indexed="51"/>
        <rFont val="Constantia"/>
        <family val="1"/>
        <charset val="238"/>
      </rPr>
      <t xml:space="preserve">
</t>
    </r>
    <r>
      <rPr>
        <sz val="10"/>
        <color indexed="9"/>
        <rFont val="Constantia"/>
        <family val="1"/>
        <charset val="238"/>
      </rPr>
      <t>0918 819 906</t>
    </r>
    <r>
      <rPr>
        <sz val="10"/>
        <color indexed="51"/>
        <rFont val="Constantia"/>
        <family val="1"/>
        <charset val="238"/>
      </rPr>
      <t xml:space="preserve">
</t>
    </r>
  </si>
  <si>
    <t>rodina Dimová</t>
  </si>
  <si>
    <t>Veranda Trnava</t>
  </si>
  <si>
    <t>Evora G9</t>
  </si>
  <si>
    <t>Italux</t>
  </si>
  <si>
    <t>koberec</t>
  </si>
  <si>
    <t>Jutex</t>
  </si>
  <si>
    <t>Isfahan Klimene</t>
  </si>
  <si>
    <t>160 x 240</t>
  </si>
  <si>
    <t>taburetka</t>
  </si>
  <si>
    <t>Jysk</t>
  </si>
  <si>
    <t>BISLEV</t>
  </si>
  <si>
    <t>80 x 42x 40</t>
  </si>
  <si>
    <t>zrkadlo</t>
  </si>
  <si>
    <t>Ikea</t>
  </si>
  <si>
    <t>kreslo</t>
  </si>
  <si>
    <t>EKENÄSET</t>
  </si>
  <si>
    <t xml:space="preserve">100 x 80 x 35 </t>
  </si>
  <si>
    <t>konzolový stolík</t>
  </si>
  <si>
    <t>Mobelix</t>
  </si>
  <si>
    <t>Gold</t>
  </si>
  <si>
    <t>stolík</t>
  </si>
  <si>
    <t>tapety</t>
  </si>
  <si>
    <t>lišty</t>
  </si>
  <si>
    <t xml:space="preserve">výber a nacenenie </t>
  </si>
  <si>
    <t xml:space="preserve">priamo </t>
  </si>
  <si>
    <t>u dodávateľa</t>
  </si>
  <si>
    <t xml:space="preserve">   7.</t>
  </si>
  <si>
    <t>vešiaky k zrkadlu</t>
  </si>
  <si>
    <t>vešiaky</t>
  </si>
  <si>
    <t xml:space="preserve">Blomus </t>
  </si>
  <si>
    <t>Rof</t>
  </si>
  <si>
    <t>pár</t>
  </si>
  <si>
    <t>LOMMARYD</t>
  </si>
  <si>
    <t>66 x 80</t>
  </si>
  <si>
    <t xml:space="preserve">   9.</t>
  </si>
  <si>
    <t xml:space="preserve">  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</si>
</sst>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#,##0.00\ &quot;€&quot;"/>
  </numFmts>
  <fonts count="20" x14ac:knownFonts="1">
    <font>
      <sz val="10"/>
      <name val="Arial"/>
      <charset val="238"/>
    </font>
    <font>
      <sz val="9"/>
      <name val="Constantia"/>
      <family val="1"/>
      <charset val="238"/>
    </font>
    <font>
      <sz val="12"/>
      <name val="Constantia"/>
      <family val="1"/>
      <charset val="238"/>
    </font>
    <font>
      <sz val="10"/>
      <name val="Constantia"/>
      <family val="1"/>
      <charset val="238"/>
    </font>
    <font>
      <b/>
      <sz val="9"/>
      <name val="Constantia"/>
      <family val="1"/>
      <charset val="238"/>
    </font>
    <font>
      <b/>
      <sz val="10"/>
      <name val="Constantia"/>
      <family val="1"/>
      <charset val="238"/>
    </font>
    <font>
      <sz val="10"/>
      <color indexed="51"/>
      <name val="Constantia"/>
      <family val="1"/>
      <charset val="238"/>
    </font>
    <font>
      <sz val="10"/>
      <color indexed="51"/>
      <name val="Constantia"/>
      <family val="1"/>
      <charset val="238"/>
    </font>
    <font>
      <b/>
      <sz val="10"/>
      <color indexed="51"/>
      <name val="Constantia"/>
      <family val="1"/>
      <charset val="238"/>
    </font>
    <font>
      <b/>
      <sz val="10"/>
      <color indexed="9"/>
      <name val="Constantia"/>
      <family val="1"/>
      <charset val="238"/>
    </font>
    <font>
      <sz val="10"/>
      <color indexed="9"/>
      <name val="Constantia"/>
      <family val="1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Constantia"/>
      <family val="1"/>
      <charset val="238"/>
    </font>
    <font>
      <sz val="10"/>
      <color theme="1"/>
      <name val="Constantia"/>
      <family val="1"/>
      <charset val="238"/>
    </font>
    <font>
      <b/>
      <sz val="9"/>
      <color rgb="FFDDC16A"/>
      <name val="Constantia"/>
      <family val="1"/>
      <charset val="238"/>
    </font>
    <font>
      <sz val="24"/>
      <color rgb="FFDDC16A"/>
      <name val="Constantia"/>
      <family val="1"/>
      <charset val="238"/>
    </font>
    <font>
      <sz val="9"/>
      <color rgb="FFDDC16A"/>
      <name val="Constantia"/>
      <family val="1"/>
      <charset val="238"/>
    </font>
    <font>
      <sz val="10"/>
      <color rgb="FFDDC16A"/>
      <name val="Constantia"/>
      <family val="1"/>
      <charset val="238"/>
    </font>
    <font>
      <b/>
      <sz val="10"/>
      <color theme="0"/>
      <name val="Constantia"/>
      <family val="1"/>
      <charset val="238"/>
    </font>
    <font>
      <b/>
      <sz val="14"/>
      <color theme="0"/>
      <name val="Constant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2">
    <xf numFmtId="0" fontId="0" fillId="0" borderId="0">
      <alignment vertical="top"/>
    </xf>
    <xf numFmtId="0" fontId="11" fillId="0" borderId="0" applyNumberFormat="0" applyFill="0" applyBorder="0" applyAlignment="0" applyProtection="0">
      <alignment vertical="top"/>
    </xf>
  </cellStyleXfs>
  <cellXfs count="108">
    <xf numFmtId="0" fontId="0" fillId="0" borderId="0" xfId="0" applyAlignment="1"/>
    <xf numFmtId="0" fontId="3" fillId="0" borderId="0" xfId="0" applyFont="1" applyAlignment="1"/>
    <xf numFmtId="0" fontId="3" fillId="0" borderId="0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1" fontId="3" fillId="0" borderId="0" xfId="0" applyNumberFormat="1" applyFont="1" applyBorder="1" applyAlignment="1"/>
    <xf numFmtId="0" fontId="3" fillId="0" borderId="3" xfId="0" applyFont="1" applyBorder="1" applyAlignment="1"/>
    <xf numFmtId="0" fontId="3" fillId="0" borderId="16" xfId="0" applyFont="1" applyBorder="1" applyAlignment="1"/>
    <xf numFmtId="1" fontId="3" fillId="0" borderId="16" xfId="0" applyNumberFormat="1" applyFont="1" applyBorder="1" applyAlignment="1"/>
    <xf numFmtId="0" fontId="3" fillId="0" borderId="17" xfId="0" applyFont="1" applyBorder="1" applyAlignment="1">
      <alignment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1" fontId="3" fillId="0" borderId="16" xfId="0" applyNumberFormat="1" applyFont="1" applyBorder="1" applyAlignment="1">
      <alignment horizontal="center"/>
    </xf>
    <xf numFmtId="0" fontId="12" fillId="0" borderId="0" xfId="1" applyFont="1" applyFill="1" applyBorder="1" applyAlignment="1">
      <alignment horizontal="left" vertical="top"/>
    </xf>
    <xf numFmtId="1" fontId="3" fillId="0" borderId="0" xfId="0" applyNumberFormat="1" applyFont="1" applyBorder="1" applyAlignment="1">
      <alignment horizontal="center"/>
    </xf>
    <xf numFmtId="0" fontId="12" fillId="0" borderId="4" xfId="1" applyFont="1" applyFill="1" applyBorder="1" applyAlignment="1">
      <alignment horizontal="left" vertical="top"/>
    </xf>
    <xf numFmtId="0" fontId="3" fillId="0" borderId="4" xfId="0" applyFont="1" applyBorder="1" applyAlignment="1"/>
    <xf numFmtId="0" fontId="3" fillId="0" borderId="18" xfId="0" applyFont="1" applyBorder="1" applyAlignment="1"/>
    <xf numFmtId="1" fontId="3" fillId="0" borderId="18" xfId="0" applyNumberFormat="1" applyFont="1" applyBorder="1" applyAlignment="1">
      <alignment horizontal="center"/>
    </xf>
    <xf numFmtId="4" fontId="3" fillId="0" borderId="19" xfId="0" applyNumberFormat="1" applyFont="1" applyBorder="1" applyAlignment="1"/>
    <xf numFmtId="4" fontId="3" fillId="0" borderId="20" xfId="0" applyNumberFormat="1" applyFont="1" applyBorder="1" applyAlignment="1"/>
    <xf numFmtId="0" fontId="11" fillId="0" borderId="0" xfId="1" applyAlignment="1"/>
    <xf numFmtId="0" fontId="3" fillId="0" borderId="17" xfId="0" applyFont="1" applyFill="1" applyBorder="1" applyAlignment="1">
      <alignment horizontal="left" vertical="top" wrapText="1"/>
    </xf>
    <xf numFmtId="0" fontId="0" fillId="0" borderId="1" xfId="0" applyBorder="1" applyAlignment="1"/>
    <xf numFmtId="0" fontId="3" fillId="0" borderId="21" xfId="0" applyFont="1" applyBorder="1" applyAlignment="1"/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/>
    <xf numFmtId="189" fontId="5" fillId="0" borderId="19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89" fontId="5" fillId="0" borderId="22" xfId="0" applyNumberFormat="1" applyFont="1" applyBorder="1" applyAlignment="1">
      <alignment horizontal="center"/>
    </xf>
    <xf numFmtId="0" fontId="4" fillId="2" borderId="5" xfId="0" applyFont="1" applyFill="1" applyBorder="1" applyAlignment="1"/>
    <xf numFmtId="1" fontId="4" fillId="2" borderId="5" xfId="0" applyNumberFormat="1" applyFont="1" applyFill="1" applyBorder="1" applyAlignment="1"/>
    <xf numFmtId="0" fontId="4" fillId="2" borderId="6" xfId="0" applyFont="1" applyFill="1" applyBorder="1" applyAlignme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/>
    <xf numFmtId="0" fontId="11" fillId="0" borderId="0" xfId="1" applyBorder="1" applyAlignment="1"/>
    <xf numFmtId="0" fontId="11" fillId="0" borderId="0" xfId="1" applyAlignment="1">
      <alignment vertical="center"/>
    </xf>
    <xf numFmtId="0" fontId="3" fillId="0" borderId="16" xfId="0" applyFont="1" applyFill="1" applyBorder="1" applyAlignment="1">
      <alignment horizontal="left" vertical="top" wrapText="1"/>
    </xf>
    <xf numFmtId="4" fontId="3" fillId="0" borderId="3" xfId="0" applyNumberFormat="1" applyFont="1" applyBorder="1" applyAlignment="1"/>
    <xf numFmtId="4" fontId="3" fillId="0" borderId="9" xfId="0" applyNumberFormat="1" applyFont="1" applyBorder="1" applyAlignment="1"/>
    <xf numFmtId="189" fontId="3" fillId="0" borderId="10" xfId="0" applyNumberFormat="1" applyFont="1" applyBorder="1" applyAlignment="1">
      <alignment horizontal="center"/>
    </xf>
    <xf numFmtId="0" fontId="3" fillId="0" borderId="10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/>
    </xf>
    <xf numFmtId="0" fontId="3" fillId="0" borderId="16" xfId="0" applyFont="1" applyFill="1" applyBorder="1" applyAlignment="1"/>
    <xf numFmtId="1" fontId="3" fillId="0" borderId="16" xfId="0" applyNumberFormat="1" applyFont="1" applyFill="1" applyBorder="1" applyAlignment="1">
      <alignment horizontal="center"/>
    </xf>
    <xf numFmtId="1" fontId="3" fillId="0" borderId="16" xfId="0" applyNumberFormat="1" applyFont="1" applyFill="1" applyBorder="1" applyAlignment="1"/>
    <xf numFmtId="0" fontId="3" fillId="0" borderId="17" xfId="0" applyFont="1" applyFill="1" applyBorder="1" applyAlignment="1">
      <alignment horizontal="center" vertical="top"/>
    </xf>
    <xf numFmtId="189" fontId="3" fillId="0" borderId="23" xfId="0" applyNumberFormat="1" applyFont="1" applyFill="1" applyBorder="1" applyAlignment="1">
      <alignment horizontal="center"/>
    </xf>
    <xf numFmtId="4" fontId="3" fillId="0" borderId="3" xfId="0" applyNumberFormat="1" applyFont="1" applyFill="1" applyBorder="1" applyAlignment="1"/>
    <xf numFmtId="0" fontId="3" fillId="0" borderId="16" xfId="0" applyFont="1" applyFill="1" applyBorder="1" applyAlignment="1">
      <alignment vertical="top" wrapText="1"/>
    </xf>
    <xf numFmtId="0" fontId="3" fillId="0" borderId="0" xfId="0" applyFont="1" applyBorder="1">
      <alignment vertical="top"/>
    </xf>
    <xf numFmtId="0" fontId="3" fillId="0" borderId="0" xfId="0" applyFont="1" applyFill="1" applyBorder="1">
      <alignment vertical="top"/>
    </xf>
    <xf numFmtId="189" fontId="5" fillId="0" borderId="11" xfId="0" applyNumberFormat="1" applyFont="1" applyBorder="1" applyAlignment="1">
      <alignment horizontal="center"/>
    </xf>
    <xf numFmtId="0" fontId="12" fillId="0" borderId="16" xfId="1" applyFont="1" applyBorder="1" applyAlignment="1">
      <alignment horizontal="left" vertical="top"/>
    </xf>
    <xf numFmtId="0" fontId="13" fillId="0" borderId="16" xfId="0" applyFont="1" applyBorder="1" applyAlignment="1"/>
    <xf numFmtId="0" fontId="3" fillId="0" borderId="17" xfId="0" applyFont="1" applyFill="1" applyBorder="1" applyAlignment="1">
      <alignment vertical="top"/>
    </xf>
    <xf numFmtId="0" fontId="13" fillId="0" borderId="16" xfId="0" applyFont="1" applyFill="1" applyBorder="1" applyAlignment="1"/>
    <xf numFmtId="0" fontId="12" fillId="0" borderId="18" xfId="1" applyFont="1" applyBorder="1" applyAlignment="1"/>
    <xf numFmtId="189" fontId="3" fillId="0" borderId="23" xfId="0" applyNumberFormat="1" applyFont="1" applyBorder="1" applyAlignment="1">
      <alignment horizontal="center"/>
    </xf>
    <xf numFmtId="0" fontId="3" fillId="0" borderId="24" xfId="0" applyFont="1" applyBorder="1" applyAlignment="1"/>
    <xf numFmtId="2" fontId="3" fillId="0" borderId="0" xfId="0" applyNumberFormat="1" applyFont="1" applyFill="1" applyBorder="1" applyAlignment="1">
      <alignment horizontal="center"/>
    </xf>
    <xf numFmtId="0" fontId="12" fillId="0" borderId="16" xfId="1" applyFont="1" applyFill="1" applyBorder="1" applyAlignment="1">
      <alignment horizontal="left" vertical="top"/>
    </xf>
    <xf numFmtId="0" fontId="12" fillId="0" borderId="18" xfId="1" applyFont="1" applyFill="1" applyBorder="1" applyAlignment="1">
      <alignment horizontal="left" vertical="top"/>
    </xf>
    <xf numFmtId="189" fontId="5" fillId="0" borderId="11" xfId="0" applyNumberFormat="1" applyFont="1" applyFill="1" applyBorder="1" applyAlignment="1">
      <alignment horizontal="center" vertical="top"/>
    </xf>
    <xf numFmtId="189" fontId="3" fillId="0" borderId="10" xfId="0" applyNumberFormat="1" applyFont="1" applyFill="1" applyBorder="1" applyAlignment="1">
      <alignment horizontal="center" vertical="top"/>
    </xf>
    <xf numFmtId="3" fontId="3" fillId="0" borderId="16" xfId="0" applyNumberFormat="1" applyFont="1" applyFill="1" applyBorder="1" applyAlignment="1"/>
    <xf numFmtId="0" fontId="5" fillId="0" borderId="1" xfId="0" applyFont="1" applyBorder="1" applyAlignment="1"/>
    <xf numFmtId="0" fontId="5" fillId="0" borderId="12" xfId="0" applyFont="1" applyBorder="1" applyAlignment="1"/>
    <xf numFmtId="0" fontId="3" fillId="0" borderId="16" xfId="0" applyFont="1" applyBorder="1" applyAlignment="1">
      <alignment horizontal="center"/>
    </xf>
    <xf numFmtId="0" fontId="11" fillId="0" borderId="0" xfId="1" applyFill="1" applyBorder="1" applyAlignment="1">
      <alignment horizontal="left" vertical="top"/>
    </xf>
    <xf numFmtId="0" fontId="14" fillId="2" borderId="7" xfId="0" applyFont="1" applyFill="1" applyBorder="1" applyAlignment="1"/>
    <xf numFmtId="0" fontId="3" fillId="0" borderId="25" xfId="0" applyFont="1" applyBorder="1" applyAlignment="1"/>
    <xf numFmtId="0" fontId="3" fillId="0" borderId="18" xfId="0" applyFont="1" applyFill="1" applyBorder="1" applyAlignment="1">
      <alignment horizontal="left" vertical="top" wrapText="1"/>
    </xf>
    <xf numFmtId="0" fontId="5" fillId="0" borderId="26" xfId="0" applyFont="1" applyBorder="1" applyAlignment="1"/>
    <xf numFmtId="0" fontId="13" fillId="0" borderId="18" xfId="0" applyFont="1" applyBorder="1" applyAlignment="1"/>
    <xf numFmtId="0" fontId="13" fillId="0" borderId="27" xfId="0" applyFont="1" applyBorder="1" applyAlignment="1"/>
    <xf numFmtId="189" fontId="3" fillId="0" borderId="0" xfId="0" applyNumberFormat="1" applyFont="1" applyFill="1" applyBorder="1" applyAlignment="1">
      <alignment horizontal="center" vertical="top"/>
    </xf>
    <xf numFmtId="4" fontId="19" fillId="2" borderId="15" xfId="0" applyNumberFormat="1" applyFont="1" applyFill="1" applyBorder="1" applyAlignment="1">
      <alignment horizontal="center" vertical="top"/>
    </xf>
    <xf numFmtId="0" fontId="5" fillId="0" borderId="0" xfId="0" applyFont="1" applyBorder="1" applyAlignment="1"/>
    <xf numFmtId="0" fontId="3" fillId="0" borderId="0" xfId="0" applyFont="1" applyFill="1" applyBorder="1" applyAlignment="1">
      <alignment vertical="top"/>
    </xf>
    <xf numFmtId="189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89" fontId="5" fillId="0" borderId="0" xfId="0" applyNumberFormat="1" applyFont="1" applyBorder="1" applyAlignment="1">
      <alignment horizontal="center"/>
    </xf>
    <xf numFmtId="0" fontId="0" fillId="0" borderId="0" xfId="0" applyBorder="1" applyAlignment="1"/>
    <xf numFmtId="4" fontId="3" fillId="0" borderId="0" xfId="0" applyNumberFormat="1" applyFont="1" applyBorder="1" applyAlignment="1"/>
    <xf numFmtId="0" fontId="3" fillId="0" borderId="0" xfId="0" applyFont="1" applyBorder="1" applyAlignment="1">
      <alignment vertical="top" wrapText="1"/>
    </xf>
    <xf numFmtId="0" fontId="12" fillId="0" borderId="0" xfId="1" applyFont="1" applyBorder="1" applyAlignment="1"/>
    <xf numFmtId="0" fontId="5" fillId="0" borderId="26" xfId="0" applyFont="1" applyBorder="1" applyAlignment="1">
      <alignment horizontal="left"/>
    </xf>
    <xf numFmtId="189" fontId="5" fillId="0" borderId="0" xfId="0" applyNumberFormat="1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left" wrapText="1"/>
    </xf>
    <xf numFmtId="0" fontId="17" fillId="2" borderId="6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14" fontId="3" fillId="3" borderId="14" xfId="0" applyNumberFormat="1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14" fontId="3" fillId="3" borderId="10" xfId="0" applyNumberFormat="1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</cellXfs>
  <cellStyles count="2">
    <cellStyle name="Hypertextové prepojenie" xfId="1" builtinId="8"/>
    <cellStyle name="Normálna" xfId="0" builtinId="0"/>
  </cellStyles>
  <dxfs count="1">
    <dxf>
      <font>
        <b/>
        <i val="0"/>
      </font>
      <numFmt numFmtId="189" formatCode="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1DD0B5A-971E-94A5-BE92-D05E71880310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5FFF850-10D9-BA64-460B-6DF3649C7F8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D3D1545-D8B4-2505-C2BB-23A6263CAC99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3ABD58B-20D7-5D9A-3ECE-F1322D1B1FD5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129FBED-66AD-69F6-8142-090612BE4C8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0F4383A-9BDE-893D-C5C1-76F9FBCCBC1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F13C9B5-FB1C-9900-94DD-56687C489A7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0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7C3D109-68B3-CA4F-311A-0F48148724B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69154C-0876-F000-FD82-E6A7705D7D4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8CD831D-9E01-9174-8A01-736B1026E148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0FDC468-155F-7541-27D9-A0FA911071B0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7C39B4A-7E1F-F2EE-EF77-D71E0A9A2C49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C319FA2-DCB0-D8DA-3C4A-CE0F1C3B7F7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4BB54C-792C-96DF-6C1F-2E3D956A6CC0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DD4795-A0FE-E2E4-84AD-5FB0FF52F28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E75D79C-53E3-08A0-C05B-71964917B71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981AB55-9F73-DA21-5BA4-E78312FB93D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B168B2F-29A5-F59E-F19D-9157969ADEE8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A08BB4-D00E-CAD3-3C4B-31F6B98E7DA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49DB367-10D2-7D0F-CCE0-C00F3CE14CAE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DA636C1-D0AB-3BBF-9A53-764D0265F79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549259D-55CC-8A80-F4A5-A81100E5F35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F65E143-EC8D-7EC7-DAE9-2752903ADEB6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9766071-88E5-ECC2-A132-E535D344995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C2B88F6-3378-8133-66F0-FA4902913037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7EA351F-1F35-A592-EEB8-FF327E336A4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6A1362D-7F0E-4B25-D539-2D0DEFB751E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AC5CCC7-27F7-5A44-4F64-48D9DC979A56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CF5E80D-15DF-FE1A-7146-5863428AD59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E0CE976-5CEF-3095-D837-31564F5A73E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94B815F-CC00-6154-962A-4DD8F55D2F4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79AB52-E0A2-7AF7-9422-3E1806EE73C5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127979D-6A2B-B847-D0E5-05B1DE2504B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F73F051-11AD-D740-C7B0-98FE7E8E2A16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4434FA7-5D77-6991-F00A-EF0226C372CE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7F7668-53D3-15E3-E6B6-DF67743779BE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0F693B-4D7D-F63F-0DE5-8E8236A344E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E7A0C12-B2DB-1293-7F9B-94A8D68B0BB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F40EC2-F767-7B38-7F0E-0649810A345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96DBC60-2C81-159D-C0D1-9238C55085F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2F01F59-F68E-E5A0-45BA-0BD0E11EC707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85E057E-53A6-598E-F875-9AF14F556E8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A3907FF-1EC5-2C34-BF31-A5CC42EBC00A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6F9C829-CEB6-D80E-599D-17D1089ABD5A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F918FCE-CE32-C730-BED8-6AD189D5CD27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13B1D61-F850-9991-92D2-24B51BDF788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9525</xdr:rowOff>
    </xdr:to>
    <xdr:sp macro="" textlink="">
      <xdr:nvSpPr>
        <xdr:cNvPr id="6981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291F45C-8E87-326F-8209-2088E8F3955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0EAA96-6B8E-3718-9502-BDDD0F027B0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0A02AC5-0AB0-A9BE-F6BD-748AF1B098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0D28B5F-FB2E-E037-9CAB-3E36B588757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0519887-FC99-986C-B1D9-4A1679BFC0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93D61A3-4573-526B-AA4E-59F8DA97458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6DC210A-F8B3-E0CD-F2DF-1380FD00C5F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38C2795-479D-CBF7-E762-49BD7BFB9BD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36F78FA-8A6B-8317-9A6D-776186E177B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B42DEEB-3807-EF6F-551B-077972CFE07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FA8CAB9-D87A-A447-D119-1E99CA4F0A3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B6C195E-460C-4864-E738-775110391D3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3A56A29-1214-8CA0-4F0E-6A97308E22B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93FE6C4-AC64-18ED-6BB9-99D7F24D161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C8D5230-AED8-A1B1-2356-FB46CA22698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AA4010D-6D54-D29E-16AC-28B591DBE78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ACEA908-8759-5E14-B474-DD9F9A02772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5F98DC-501B-F7EB-5246-289DBC21977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8D1E5AA-8F14-79F1-810E-368791C8D0D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53B819F-C864-B260-69F1-732B01451D5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48AB5DB-4D10-638F-989A-2C567C632AE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EF58D03-52D9-970E-DF00-8D6BCA69764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975432-BCBB-7695-59F4-49318B074F2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8A1D18A-4B9B-01BB-335E-11077BD4CAB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6E53A2E-B29D-6845-0730-53D0E37BC27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7C8B2FB-4F2A-1839-A817-1F1E08B076F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EE0D61C-945F-1B79-EBF0-3F9E083FA3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33B7886-8B85-5AF9-337A-2377C2C96C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5CD1936-E57B-01DE-3C55-A2CDF643E1B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0AC277B-62FD-ED2C-B6BF-DA0AA03956D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BEB159-90DD-322E-A0BB-ED81E422812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CE659A4-814C-7E27-BAC0-9B9B8ACBC7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43AB0AB-B1FA-0093-0999-8BD3F837134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90789B-7278-F7FA-1585-A26150C74CC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10756D-98B4-69AA-BCE9-2D7BE34CC00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720523C-4054-65AA-B82F-0840EB14F6B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7490F7C-C12B-1A6C-7EBF-C6723E9DA9A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DB2EF0F-307E-BFEA-A5C8-311DCD6C957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D037571-E90D-ED13-71E4-33CBC86C47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E872098-F33D-9A00-7F42-AF427216D3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7D07D1E-B77A-43ED-D034-139C0E4C951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DF144D7-5DB3-39A0-A743-89B636EB02D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B2064ED-83BB-B7D4-B501-CED4180AD4A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1C9E5DE-9922-01BA-A958-FB5E298E8CE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23B8544-24F7-0164-2A8C-E58A422FA59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7DE29F0-AE03-2663-8DC7-312030442B9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B66A00F-7EF6-3523-5447-860899C4B79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637E402-4720-0A7A-31A2-06F5EAF7B8B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E35316A-3542-A6DD-F761-B64249D7F07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304800</xdr:colOff>
      <xdr:row>399</xdr:row>
      <xdr:rowOff>142875</xdr:rowOff>
    </xdr:to>
    <xdr:sp macro="" textlink="">
      <xdr:nvSpPr>
        <xdr:cNvPr id="698187" name="AutoShape 1180" descr="https://www.sanitino.sk/image/cache/image/catalog/products/1f/a3/1fa36e659d7e2284eef0474dd5a9261e87f937eb6e6cc2f0913df7a1-92ef039c61ae5727119a7524f398c9ec-1200x1200.webp">
          <a:extLst>
            <a:ext uri="{FF2B5EF4-FFF2-40B4-BE49-F238E27FC236}">
              <a16:creationId xmlns:a16="http://schemas.microsoft.com/office/drawing/2014/main" id="{74EADC3E-D807-8694-D5DE-DB8B481402C9}"/>
            </a:ext>
          </a:extLst>
        </xdr:cNvPr>
        <xdr:cNvSpPr>
          <a:spLocks noChangeAspect="1" noChangeArrowheads="1"/>
        </xdr:cNvSpPr>
      </xdr:nvSpPr>
      <xdr:spPr bwMode="auto">
        <a:xfrm>
          <a:off x="95250" y="66332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304800</xdr:colOff>
      <xdr:row>399</xdr:row>
      <xdr:rowOff>142875</xdr:rowOff>
    </xdr:to>
    <xdr:sp macro="" textlink="">
      <xdr:nvSpPr>
        <xdr:cNvPr id="698188" name="AutoShape 1181" descr="https://www.sanitino.sk/image/cache/image/catalog/products/1f/a3/1fa36e659d7e2284eef0474dd5a9261e87f937eb6e6cc2f0913df7a1-92ef039c61ae5727119a7524f398c9ec-1200x1200.webp">
          <a:extLst>
            <a:ext uri="{FF2B5EF4-FFF2-40B4-BE49-F238E27FC236}">
              <a16:creationId xmlns:a16="http://schemas.microsoft.com/office/drawing/2014/main" id="{FD4449F3-674E-9AE0-E4A2-8220D5C4ED6D}"/>
            </a:ext>
          </a:extLst>
        </xdr:cNvPr>
        <xdr:cNvSpPr>
          <a:spLocks noChangeAspect="1" noChangeArrowheads="1"/>
        </xdr:cNvSpPr>
      </xdr:nvSpPr>
      <xdr:spPr bwMode="auto">
        <a:xfrm>
          <a:off x="95250" y="66332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1FB4A17-6267-F3B7-A4CE-E9FCD2DA98C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B6E622-C383-BEED-A769-11AD1670B32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38D7F58-2431-510B-C0E1-42504DEE506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A15B1D4-A43D-EF3A-8B61-C2E965601F3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93F0F1F-96A5-F7C6-CAD4-237CB2D1281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65F44FD-A865-AC34-6921-FBF6491203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6694D6-5F1F-57F0-2DDC-BD88C248940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6688B81-FE89-5C85-C7F5-17C1AEDEDF6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9D9CA3E-874F-3A02-336A-DD16D3B44E2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D0416E-7285-F8F1-CE34-6F09E5EF28F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1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391231-08B0-9DA6-4C22-FDD49E21EC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842B072-D629-A328-75B0-02A97F0319E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F834CF5-B2C4-FC4B-C55F-85FCA8D1B26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19ED5C1-D00D-E54E-1AAA-1AF2549154D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BAE27A5-CE4E-8644-AE69-2AFC3EC554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D15A854-3313-6F83-59B3-254AE1C984F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7D3EEC5-4F06-D949-FF65-49F060CB2D9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4D5485A-88A3-BFD6-9899-23C2852A482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6C6D0FB-8843-558E-7D56-4A33C2FC968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7339B2-72D7-67D2-7029-EE81D512EEB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0FFE843-E0AD-A5E0-9DCA-2D6C9BCF766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348DE5F-9733-36D4-4014-AA78C77A14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1FF2D8-2E1F-A5D6-FBD0-B50EFD3BD2F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1A2BE01-C787-FBC9-0C0D-34E1F7BE965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ACCF18E-8B50-932A-8B67-BA5B0CE3DE3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68FB187-843F-C32E-8655-86A38CEF36F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7E4D678-F39C-FAFD-22F5-6218A54210C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5549411-1AD4-2B45-F3B4-A6E0C7CA793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4020515-1868-8861-B76B-7ABF04C43E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F1C478C-A77E-852B-0C87-FF1B33F3924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8FE1D4-08D6-0D37-7A2F-CD678399C06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433E336-0C3D-F36B-9475-294D565389B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24F2B2-D1A8-089B-D0EC-14D2BB8EECA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A75C0A-AD4A-B668-EBCD-03C063613B0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330C725-401B-41AE-D678-0192DBE0E78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B47B041-83E1-5CBD-B56B-BED927AF7A1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410B843-5184-5D68-EF6C-AE85DAB2539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2B0BFA4-A854-7A91-F244-909DAC9E3C2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D20FD2B-88DD-79DD-EB17-D9CEDDFCBE9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73E6E8E-D391-05A0-185E-7AD92F2562A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8B12C3-A9C3-7415-DE1E-CD83C6C58F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CB14D1F-1CF0-0E7B-9077-53D2F3F555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C477E88-36E6-F318-0C41-0E86D2C036E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D32AC38-FAF3-E4F2-0680-AC58554D683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B2198B-CC0A-12E0-C6C5-D599B228936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F3ED7F7-B166-912B-FAE0-63D2E5B7839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D035103-5CB8-7DDF-FBDC-CBD64B967D9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47DD3E8-0FBC-A5BE-6F82-13C2768ABB4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825C540-C452-854F-C813-72FBBD38250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EBD5F92-BFC8-0070-615C-E00FE26883C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03885B5-53A5-91BE-F2F2-0D67107E5EB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214800E-90C8-DE5D-1372-C0CD0A7691D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F8DCF17-D18D-2055-3D49-13210DF6C4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417CFB1-9249-C1EB-F306-7CC2A71BA28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867D46C-7CAB-FC2E-F05F-175C9458534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851E4E5-2DEA-6886-A19E-BBD063A53A2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334420-4E8E-784E-B117-FD535AA32D9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E29CEC1-115E-B141-67DA-63C76F8B685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A5356C9-2988-60BE-46A4-47894D22E1E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5FD9D2-8E03-2143-2BCF-E33959822A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B62DF21-A8DE-4AA4-A647-432670A5531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CAF1A86-6635-80D8-76B6-9E55116D150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81C4DD-CB5D-F5AC-464A-7EA72468DE6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71916F3-BEFD-80DE-6321-CB517B248AB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7DC4502-FF78-7ED8-B741-27B55744D91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39B8C07-4E1F-32C9-40B3-7F82E1D047C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1E6A646-30FE-3ACA-DE31-CE8E39B83B8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1C7034-1AA7-B394-6C61-DDCB74A0867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9C33F35-C93E-494E-EA27-CABD93B357C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CDCA41A-6E42-65D3-1970-81843AF47D8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2259B5-CE92-6140-4AD7-CC97996BE0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2ED4503-00DA-F5ED-B183-0A15318A7E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C2681B6-9537-6559-6780-1A5F1C717D8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8578888-F35B-5E48-11B9-E95766BD1CE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2C7D8A-95E2-D60A-24ED-819E939862F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C95ED06-45F9-788B-B684-A123EAAE34F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C6C01C5-694F-1617-CF15-AADE8654179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3084E18-12FE-2125-86B8-FE5598B3A5D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539BC1A-FC9C-B12C-D6F2-B4E5B306482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086DAF1-F60F-1C1E-44EB-F01432D6C97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A137835-1000-4068-96DF-EBC4C80417E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9F15BCA-A7A9-7681-4949-A73A30A9A5A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04D6349-AB79-8062-FD1F-4182BD3AEB1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D16683A-2CF6-9A66-832A-CB73D2F1965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DCC557-D11E-AC0D-E015-4D13DA94DD6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BEDF516-BF2C-EAA8-BF6A-00FB2F6875B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8FE9FF3-1849-53CA-C539-1A1EB8FC9F7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43F9545-2DF5-B93F-A3E7-E16A9956C56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FBDBECC-2AE5-4945-3496-01FD65FA0C5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F910DAF-FDE4-7DD0-D380-AE1684B131B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1B5A9DB-BFF1-26A9-8B32-68606A40D6D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BA1070A-8035-66F2-8BFF-2ED046BF5E8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8020F55-8E01-A48E-52FA-65A3A76D7DF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D2C75A-E517-3F5F-E9A1-AC5883167AD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33B2BDD-B63C-26BB-7BF0-4EC87C5955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58A5E04-4F86-6FEE-DF24-2A62740266B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0F4222F-ABCF-EA95-5E88-78739D1D493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783343B-3B76-82D4-8729-856248F4019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92BA444-FC4E-5347-2A36-9AA632A6B9B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05CE6A9-5742-1545-327F-6FF1BCEF8DC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F25CA5E-F6F1-958F-3617-75A450AB46C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AEE8AC4-E58F-FE00-4996-B926B1D01AB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212C879-5BAA-B105-8403-89C85981AE8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A124C9-2F74-ED00-4D7B-0D5E98E656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5A1DCEE-CD4E-A40C-D17E-C756B0772E7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5DD753-BDA8-A484-0A00-BA0FECA1BFE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20AE3E1-6BB9-5523-0708-3CFA596BFF1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69F528B-A060-038A-7E88-923C914AEE4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0D9920F-28CE-1DCE-3872-D06EE6C4156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DFE65C9-E27B-2615-8917-7E56543673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2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A040D87-348D-0F3E-583B-5E3A7C3CC2C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133E41-FF1B-135F-78E1-F0C0733DC7E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563A27A-8AFF-E9EF-8AEF-DECE7C15C55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81E3125-B2B6-EC72-A6A0-4EA05F7F9B6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5EC3B75-9BDB-CD3B-EC4E-C3747315C06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5E62DD-A485-2D02-9A8C-FC64E84419B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5E90385-95C2-5BB7-DBA8-46D7FC7D6F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E609187-84A4-F6AB-2FBC-F425F4E9DB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AFC1AA-9730-452A-C7BC-1B3F8ED3A2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149EC4E-E742-92C5-F494-4DBFAE765AC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16726F9-FD06-049D-A065-27FAE9D9D3D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29F13F6-9126-42BB-423A-E8C9D188787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C0642A6-F985-43A5-F66B-F05FDD0FBCE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DCD7806-A446-1FFE-E2B4-34EEA15FAEE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21C0871-2168-F5A7-FDAF-77AD8DDE354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063E66C-FA64-4166-9A88-8B4A657B653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C8545E-B804-0F15-890E-558AAA7A80B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CE9DC2B-B895-227F-FC4F-C707FA84F8C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F8779E4-4A52-640D-7BE8-E356A14C843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73B6E9D-B8CC-9C4F-9F77-71A541D3817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426AB9-66EC-6DAE-9ACD-4EDB30F3A6D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7BDC81-21E8-F900-D105-EFE9576BF7B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2FDC513-A3D1-5A72-B69D-7365E2E1DDA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11E1CB3-7163-A362-0901-22C2FBE5546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E65B2CE-D5B6-20C0-560D-31082BE7AF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5035719-C95D-170E-B8DE-29D2E8B2109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0C02AD8-F62D-06C9-5779-D0D9D18F78D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8283790-43CE-7A15-F6EB-310832029C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BB5D057-9739-52E8-92EA-2A64AC73464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440E8A-ADBA-F527-27F0-61BE26B87DC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A07676B-9C41-CEE0-C076-6F32ECD45BF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1FB5F2E-2853-D7EE-8BF1-F9A6F675C22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CE85D9E-505B-AF02-2FE5-D76D6D8AC40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D8A71F4-84E7-E8AF-4152-9C701AE533B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F4FDB95-2201-B788-D3A5-8D177D6950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5214501-2FA2-3228-C06A-3550864D695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37ACF43-600F-0831-BAB7-575B625A30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EC33CE-8FB5-B8CD-6655-9648A3F8902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C80D7D-4E37-79CD-5E57-9BB1CBFD91A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A64B94-5096-080E-4188-0F1F25A38F9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B1DFDB7-D884-7D2A-7BFF-0F12953C299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76D546D-AE1E-AA0E-2B85-6015D1FE397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56241B3-17FD-B9E4-0D4A-C41D522668B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F95018-AD38-B39D-F66C-297B9B30EA0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3550E46-BCFD-7CC3-4717-1426956935C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993308B-57B0-5F82-2B61-FE0BC45D919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47276ED-B0C6-2E2A-E052-C09EBE8A2FF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5744C2F-54A4-00EA-FB28-D46B710C8BE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FE8338E-8ED9-4331-E732-9D3A0EEAE09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7B63C27-43AC-6DC9-E94B-B7801D0261E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9536AEC-7F97-5F97-DF9B-DE46E57FE16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B101E5-11D3-438F-2E71-8F5E2403EF6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BBC778C-EC4A-4AC6-AB9C-212EE2F2EB7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62A8ECD-509D-AEAC-12DB-F97474EE0E8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FE312E-B631-A844-EE2F-4491708C126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1BAE48F-0A81-DC07-54C4-A9D71979908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8D065D-C48F-BD72-88A4-8109F46A95B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4FAF2A7-CDA9-21ED-FB84-3623E04D65D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F3647DA-B182-4676-1BF2-5E8E0B820C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7317700-6D9F-F476-9202-876037F055A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B95E9E-3B76-A6EF-860D-81298239CC7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6D28E3F-AE6D-7C3A-6D43-3A09A428328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2527171-82B6-E66F-85BE-78B89187C6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181069C-5BEA-C147-CE96-51A51445677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BD82ECD-2C7B-A5D0-A0C8-365555E8206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D961AD1-C1E7-618B-3EFB-944AA22DD7E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0E280B8-F9B9-59B8-3C65-498A2CC7C43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712F6A8-40F3-ED5A-4A5D-0144241BD23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3028833-164A-5034-D519-18A5DE83D6E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B7464E7-5228-76D2-31A0-5DF32FCCB27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11A231D-0B8E-69AE-BE45-EAFCCC67D67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C155D79-8C87-1997-4FF0-E3C4BC9864B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E6439F3-00BA-51CC-37DD-591C89FC2BC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2A6B5B-AC97-22FC-C330-3201621CC5B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85D761C-5E73-E64D-5618-37BF1AD67F0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39146E2-FF4C-6C25-ECE9-D0E90BC7480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C87CA54-21F0-7832-3AB0-F50BF926260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86159CC-F984-703F-6F1B-BF7299C4801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B4637B-37C3-B01F-9DEB-E92BB2606E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43ED6FD-D162-BC9D-037C-B671173269B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17772D1-65E9-9E84-8792-22D869355E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3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4CF2992-FB7C-7427-F8D9-7755BDBE838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A8F4C5E-1649-F8E1-FEFB-2CA4633AC18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8878CE9-359A-659F-BFAA-AE7337CACCD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CDCD167-2013-C3B6-2C95-A499A490F5D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B798C91-2BDB-484F-BEC3-BF179BEF191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C316722-A697-5BEF-D14B-751C97828F5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9DCF07-9263-9994-118E-78115EF98FD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30682FA-A379-5B43-94DE-0A94401BDE1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F92D385-5D55-82CB-7681-C8D1DADE927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ACE0BE-FC59-62AB-0D5E-ADADBE5847A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9FF26E4-C269-DA9B-14FC-18799F1FA9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4BC5479-FCD1-DA3B-6A82-D323AA4D2AE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A5F21FC-DD4D-A472-7611-46FF80F6054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A8CC16-8854-E01E-34E7-5383C8071C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A116D71-D6AF-84CF-338D-8F72E9AA0B0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BBDA4D9-DBE8-0775-6976-59C51049D63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A0FF1A3-6642-BB21-FD3B-EDFE25AAE9A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779254-54E5-9180-F1A6-352218A0BE0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B672FE6-6ADF-FC45-999F-CA7B74E872E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3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A679005-0EB6-B805-FC48-21ABD1F9EF8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65F733-BC8C-CDDC-6244-84069983CC4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1ECCAF8-3F2B-B0BB-034A-076028024EE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154042A-693B-803B-D575-91E0A1A6B11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556408-8400-6B8E-27E7-8B2EEC2430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E14810E-0589-71D6-005C-D1A60A53FC0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23263C3-629D-B4E1-21C0-ABD906F5066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062C0F6-5118-441D-1542-F0500C09D3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4FBA2DB-1A26-5B09-068E-B1116EC1BD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E08FE40-BA09-022B-0892-760E55DE947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84D6260-C43B-6EB5-23F2-BD53C31CC48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E4F9FEC-CBA7-A3B0-6CBA-D6040AAA413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E63A97-AB7F-6F07-CF3D-CF5F5041F2D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9A06AC1-4F40-EF7F-6C49-F559F9BF9B8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9C118A1-5B34-4C4D-C304-6F7B4A902CE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2A9EAA1-B73B-2EE3-DED6-B86F68048A0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EB2E88C-4AE7-4ED2-F947-5FC047A547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7F9C84E-9CAA-421E-238A-472D47B9878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DD4B4A1-4F84-6A39-9BB0-D666A9C6C3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709DC0-A18D-D270-9633-A1DB62222F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A871C65-93D7-174D-0EB3-67BF4E711F4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1A7151F-0D03-E33E-BCDE-814880FD8AD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A6C1BE5-2B64-2505-8A55-EB099619202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0FDE8E1-9C2D-BEDB-348E-29C8C8D5EFB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1114A6-4582-49F3-833E-1C87F5F1BA7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A141107-78EE-A15B-973F-76819CAD23D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F685396-9452-7AB0-2468-A9612BE0E27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5C37A04-CAE1-0549-B694-BF124BEF3D8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A96B5E9-4305-C9C6-18A9-97052AB250F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304800</xdr:colOff>
      <xdr:row>613</xdr:row>
      <xdr:rowOff>142875</xdr:rowOff>
    </xdr:to>
    <xdr:sp macro="" textlink="">
      <xdr:nvSpPr>
        <xdr:cNvPr id="6984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57E25E8-3874-FEBF-27F4-0F746C3A8D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984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D63B291-92D0-811C-6D8E-12AD68B58A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74E7CB5-2B9A-91C4-01DD-2BD9292BB14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BD713B-0751-CCB4-C100-85F5956FF03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46571AF-FA14-B500-D37D-E52A85B17E4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2EABBC9-714A-5E24-D68E-AFDB7215DD8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8B9539-A7FD-9B3A-C1D1-061C29110FD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FCCAF9F-9FEA-E0E9-F7D3-DBF58ADCA2C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408DBC-F83C-BDAD-0818-4F52B80355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5849A6B-1E9F-8034-02F5-0940EB9C551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52441E2-B729-F94F-0C9D-CEFE5347D8A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F977B0-FCD5-7F33-C92F-2EDB4ACCB0B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A232D77-43D1-3E36-78F7-479ABC90530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7D23F13-D6DB-309E-4246-23FF812DF8A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8AB5DC-7CC2-FCEC-CFDA-42A8C846F30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B2EB2F9-787E-7D37-873A-AEB559DC73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0356DCC-35F1-0B52-F3DC-5DB30D915BC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18F65DB-F51D-52EC-C25F-736BC9A9283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5DF8DA2-A5C2-7E1C-955A-E288FD5D9F5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7342227-3835-E77D-DA4B-E2E423AB71C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634F3F8-96B8-E996-D5E2-6F4556F84AA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15E3440-8BBC-2075-A28D-3BDAD72685F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97B0A3-AFBD-8859-2A75-80F9400EEA2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F9FB03E-DC56-FA7E-D892-AD2A31B12EE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7D9C8C-4C14-8B3C-9D9A-6FAD925E80B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D0A7CE6-729B-B0B7-25F3-E76CECA9571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F625D75-54F1-676D-2D1D-CEDDD5D9966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C1394F-E1B7-E587-7693-6079D3CD6F2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EF15280-64ED-551D-111A-D167B4449A6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E4FCFDD-BD3F-0BFF-5BF5-DB564ABFD97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D4831FA-64A8-7E59-A546-1236716ADB1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4AC3BE0-4271-0F0A-AA66-B0C589AA11F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27381C7-F793-14EB-A1E1-DF77A2DACCC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341A35-3AB5-3746-4755-558274FF63C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E338EB1-D210-14BF-C955-FC27DD1949B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6DA5DC-AF48-0B66-A67B-D9E708D5E27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7746945-97F6-7655-AE71-FB749034E9B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2D27D5-52A6-6FF6-3AE1-98A90F7E0B6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B1D430-5A0F-B049-EB8E-831DBDB345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19AE5F9-0E3D-86A2-119A-980B3D61C05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D0940D6-A6D8-6D22-F1AD-C38668711CA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C3AB9A-725C-1D67-AB09-A16235205F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BA8E4BC-1F04-CEAD-C05C-BDA91222B56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36BD9D8-D805-E5AF-FD95-E6F4B93DEA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6C2E47F-1073-383B-2B67-AF301EF2594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A21910-062B-E6E7-FE97-335770F4185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3108C17-3632-BB44-081E-75864FAF3EA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F0ECA0A-46FC-57D6-89BE-7D9D2C5A486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4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D1A8E8C-2ABC-A361-9E16-0A704A8EBA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304800</xdr:colOff>
      <xdr:row>383</xdr:row>
      <xdr:rowOff>142875</xdr:rowOff>
    </xdr:to>
    <xdr:sp macro="" textlink="">
      <xdr:nvSpPr>
        <xdr:cNvPr id="698477" name="AutoShape 3073" descr="Geberit Sigma30 - Ovládacie tlačidlo Sigma30, biela/pozlátená 115.883.KK.1">
          <a:extLst>
            <a:ext uri="{FF2B5EF4-FFF2-40B4-BE49-F238E27FC236}">
              <a16:creationId xmlns:a16="http://schemas.microsoft.com/office/drawing/2014/main" id="{58D8C99D-3EE2-C39F-5978-A83891F8D40B}"/>
            </a:ext>
          </a:extLst>
        </xdr:cNvPr>
        <xdr:cNvSpPr>
          <a:spLocks noChangeAspect="1" noChangeArrowheads="1"/>
        </xdr:cNvSpPr>
      </xdr:nvSpPr>
      <xdr:spPr bwMode="auto">
        <a:xfrm>
          <a:off x="95250" y="63741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C393447-C288-43AB-4526-AE713B1F26E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63FC511-1C49-89EF-9ACF-ABB7AD755DE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BE96655-41AA-4A5E-CFC7-7AA4E675DC3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BE789C7-7C1D-4DB2-F87A-2ACD834C8A7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F2878E1-A30F-84B2-B8D5-22DA6201A8A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3B30CB-5A83-18F3-664B-6F8D2F2B11D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6A161B7-B3E7-3A7B-8E5A-0BB2E1E03B5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B1361F-EAC8-5B4D-45EC-5464CE81F5A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12F6970-5C91-D7DB-F3C4-5CDD9636E76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45CBCEB-0A9A-877C-782B-1B6B55F9FD4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197D54F-8954-97A9-732E-1745C7A4F1D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91AC87-FB83-B9DD-E906-0ED1D4E91E1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D5C4DEA-8A89-1B83-4F2A-28E66AD48B0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1E85E43-427D-D383-8F36-25DEC21170A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C6F613-3E80-063D-3883-E5896BE854F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7401BFB-DC39-235D-3382-7034EA03EA6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377BA58-6710-A10F-997C-11BA432AB89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3CCE7F6-31FA-08F7-4729-90821B0E659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F0CF224-865C-23BE-F101-0F3B724AEBA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131414B-0ABD-B4CD-8283-46ECA08965E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5C5E829-3913-F70B-EDDF-E88B25A4D4F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4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AAA180E-2AB3-B694-0EE4-BC0641B1CA7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762F6E-B465-532B-AFB1-4F48F3FF37C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5A27F7C-D4E9-DECB-31D0-7CFED5967F9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722AD2A-F9B1-C90C-84DF-FF70069208A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85A9DB7-6594-C6E3-C53E-7513266791A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D169F6E-DB04-83A9-C25D-6E7085B5816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D9567AC-287C-4DA6-21E2-C19FEE84AA4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6920A9-9B56-9107-5913-9615EE97709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8F14E38-A245-9B65-3FE6-7173A9EC7DE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ECE20F2-D943-0A73-0D57-1FEC7A2BEA9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4320298-20C3-649E-AAFC-F6F56BCD3C9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673814-B922-A65C-1F2F-E30761F896A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1B4ABBE-657A-F5EC-06E4-B200531A862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104E1A8-2E89-BE1B-D661-9944B9F4D24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81E1E9-C3F0-707F-16B9-A552DD60A0A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9D6A5D1-26E6-1FF3-C55D-F2955741422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924087-4AFC-7A87-07E1-BAC92E0DB8D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A397B75-F1CF-CD69-067C-418110480C4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EE1FC52-58AF-1242-C234-6BF1CC6FFEC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0EE8FD9-BE6C-55CC-819C-53C46C26E1C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E8C6172-5E3C-80E1-0EE4-2F2E776744A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C71C93-197A-DB22-B484-37699D8C584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D69EEDF-46E1-9D65-8E3C-D617144DDEC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BE0E40B-9F0A-F532-D0B7-8BB0612B1B8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8728916-C830-F6F9-D971-DFC754ADB90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2CD45B2-2E5A-1AA5-FA90-384DA9FE43F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65555E0-347E-E98B-942D-76DB591754D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C5F84A8-69C4-55C5-8F39-5821619AD14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7677100-9A1E-A753-ADBF-9AF9700DCBBA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80CEEC-A02F-013E-A3A9-15326B0EECD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454349-44E8-57B2-60E3-9B4A9AB4A45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EA945F-EBE8-34E5-56D9-C5F22A18803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9B7DF90-131D-E9C4-E8AF-3C15C9248D1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A3FE72A-7745-860D-8957-ECEFDBBF695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245E8D-FBC0-F1E5-648E-602E1B96543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FC66EED-DE00-890C-49C6-E9A89CF47A1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4C83483-2D8E-7FB2-7677-48182F6CD3E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444DDCC-EF6A-3C3F-3A3B-9772837F875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0750727-F9EB-5994-F189-1277605958D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DE958C5-9216-9FAC-54BD-09F1AD0C4C3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3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C3F9639-8A2C-E745-9684-E6DC395D804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7C14C98-2DB5-F199-B9A2-D8042B6CDD9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A1B0B4C-507F-4662-8571-6D172E7E9A7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4A5DF4-5C18-08E5-F355-AAE7D7E09EE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198A01B-6A40-E475-7E97-B273F3ED1BD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9CAA8E3-0BD5-2B16-C436-812B21DAE32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A0D499-C53B-AEFC-94F7-38B161695F6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3AA251-C020-255D-BC06-163481870A5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12CECE0-88E3-0851-F6D7-3B732D850C4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3626455-3A65-D54D-CC2F-D3F16F05704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0FAEA6F-3A88-E2CF-BECC-74D897A988E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ED930B2-1B2D-1AEA-EA84-0E490FE3267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13CB50C-59CE-321B-EA3E-5AACABD5079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ADA890-458C-B91F-6D57-83047157A0A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508A8D7-7304-14F2-182F-F40E5D0BB0A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C1434DD-A320-F1DF-40E2-7FF7F6AC6CE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E3B4AD1-517D-F64C-AC86-59D65031B02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0103823-D23B-BDB8-CB0B-0DDAC81F669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7D15313-4D6B-85F2-79B3-9FC96B7E19F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BB93823-12EB-58B9-7EFC-138AA3C146B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DE8F399-57EE-7C29-8633-C291BF747C3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0E68FB-8F51-A34D-D64F-D710216DB1F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6E88379-6B7F-7C20-9D8A-98C10A527B4A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95E5C83-5154-55FB-A9E4-E0A51E02D86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3719102-1C0E-2219-A32A-C861D0E1B15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9A98701-BF49-5D95-8BE8-0FFF458DB5F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E3DC299-26A7-D9FF-BF70-4AAE8D3DEB1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6738F31-2D92-92D8-40AE-09A9F97D459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1C55879-C1EE-5BED-20C2-41DA3C1244F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574209-168A-8E0E-FC3A-8D90B29685A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42F81AE-690B-5840-6AC1-4C406D6BB86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B86D106-BFD0-F1C0-2E7E-9D71367355D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B8E1907-8B6D-050D-7EB7-F8392662302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481231D-053A-CB41-C01D-B48E349EB9E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2E6020E-CFC3-8119-D215-98C01AC8A9F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7250062-887C-7CAD-7A33-23EBD7F8B49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69F8388-5C23-B2E0-0D39-6B6BC225637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56D3228-DBB1-67B7-807D-314B0F194A6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A46A397-BE92-588D-549D-4A1EA4C73C1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3EED984-2683-8242-7437-A6FF090F613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73C3A5-9F90-D21E-38C4-69EC226F129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7946121-29DD-9907-6ECA-0684D29EB9E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FA7D14B-8E60-D46B-1751-62F83968A7C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0011144-89D7-8419-0EFA-E732071CD08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9F6861-E809-24CF-4295-97A54BA76FB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1EEDDFB-6EC4-58C5-685E-72E1218F026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873D06F-8C65-9725-AA97-D60BDC99C6A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A6F7D2-8B8F-B27A-7ACF-8124FA55B25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749FB09-FBE6-5335-91F5-64E32E5182B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6DDE158-E9D3-2539-3446-097C5C35AC0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5576E88-A208-59D3-3AF8-8BAF54DBA35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BD0719-D0BB-DEB5-EB6D-8A9E2852466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79B2F8-EF25-63D3-5C85-C5DFF8E04CEF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1FDC2F1-0CE0-AB23-41BD-D234B9165FE4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EBFC637-075A-C911-920C-396073FC2A4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15A821D-0CFC-0A98-AFDD-A43C490A08E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398E17B-39D6-4E9F-95CD-2182DC3D310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ADD3981-FE8F-6447-5D80-48A3E146612A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1C70A6-04D8-B133-CF54-61022C41BD4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087265D-AC7F-D1D2-E7AC-69D6FC9283B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5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63C0A67-2BBB-E935-3A7E-1DDF223DC9C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6FBA361-B230-C479-8518-4244DF9AE930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A174670-94A2-A2E0-6864-A4099062094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2BFE9AD-D607-5716-6883-EEEEBFDC900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03A56FC-9403-965A-72D9-DB271622AE18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B839C33-0423-6850-304C-EA136A8F0D1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C218206-AA0B-5F46-438B-D4CB88FDD00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D4FD453-0982-19A2-4020-F2CC1341F4B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AC29C28-BE28-1D98-F8EE-1C67B8D88ACD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C8D56BF-6B87-8518-27B4-60A126D176C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258EF3B-22D0-755A-C2BA-18A22E9ABB1B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373295D-A88E-6F27-75BA-776D772A7B4C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3A4967D-3264-E386-6735-977CCAC08AE5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5A1E0A3-139E-E8BC-AB2E-98905C6830B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8D7A667-D22B-ED0F-6170-318346FD140A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C385AA-7A6C-9FD5-4C79-355418C6883E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AB6A1E2-2D2F-5545-70AA-A1213DF9D929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DD367D0-6518-C7CA-CAA1-CA65A40E4DC3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E01380F-952F-8D35-4CCB-C45A4AD4D9A1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6CA6CD1-EB2B-6033-0D5B-3C87A184EC67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9C10083-D7F1-4E38-C00B-20AFB02E2A32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605</xdr:row>
      <xdr:rowOff>9525</xdr:rowOff>
    </xdr:to>
    <xdr:sp macro="" textlink="">
      <xdr:nvSpPr>
        <xdr:cNvPr id="6986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6C2F728-C8BB-6008-C19E-4AD78DA933A6}"/>
            </a:ext>
          </a:extLst>
        </xdr:cNvPr>
        <xdr:cNvSpPr>
          <a:spLocks noChangeAspect="1" noChangeArrowheads="1"/>
        </xdr:cNvSpPr>
      </xdr:nvSpPr>
      <xdr:spPr bwMode="auto">
        <a:xfrm>
          <a:off x="95250" y="995267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2FBF7F0-BF53-384C-4DAE-B1F04B987C8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F445BE4-A43C-9950-E606-A82E5BDA45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6FB2C9-31A1-2F19-05B0-80D016E765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439ED5-14A7-A079-6B6D-7726E06412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668AE23-D9A9-403A-6DC3-54D3DC98905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0A8A7BA-E717-8F7E-D976-AB3BA2C2EA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9EBA0C5-37AD-08CC-ACB0-B8EE21B9524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9D95117-5DE1-4C9E-2D94-A8495648AD4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3A3299-684A-97E2-13DC-20CE14C36E1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DAE55B-7638-D761-03A8-5591F2CEF09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6A039D7-FE6E-954E-F1CE-B6320C14F18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6C6F42D-D946-F71B-93AE-BBD31BA11E0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A02AA05-3E85-2224-2A75-937DC42751B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F076113-DA30-7BEA-3905-05F66087EB2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82125B0-2B7D-B911-0E5A-FCEF3C811A5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FF613D-745E-0CF5-B8BE-E55ECD7AF65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103A8E0-4854-BB7A-1487-73D6C66A5D9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7D1BFB8-C327-27C6-8C51-57ED8891D25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A5C8579-E4D9-F25E-B820-5AEDE6688B8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A15A047-4C81-9F01-5828-5ADEFD9C9D0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90CDB42-9840-E0AA-DB87-587F869E908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FAD4667-529E-1AD2-CBD1-171B72C9FE7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AB53F5D-5721-0D3A-262B-436C6790F8F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D6B2787-EDC3-705F-7286-60D97BFD57D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C695031-A1AA-7863-4021-8BB28333842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20A0C2B-167B-8AB3-0E90-58C66B535F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A94ED5-F784-2955-7DC5-078E7E2FB89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A0F248C-1C0D-3FF5-2A2D-6FFB87FEB6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DB4413E-1F6C-6F43-4D48-6BEF9834013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31E6A07-30DE-B1F5-012F-B8A44B13C3E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D8F8032-ACC0-3BDE-38FC-201D75C83D8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F1E8134-317B-C6B6-5396-1905A426B7E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4713C3-36AB-2B60-0FC0-5612CF4E62A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4420AD-50F4-5B98-615A-A951FCA275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678F648-780D-BD7D-F1D3-7F9CD720C28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BC0CB65-4179-FB7F-500C-2AA61F1062F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8EF83F2-82C1-1EB0-78DB-6E17FAA5F97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1EB254-0E61-B02B-ED0F-FFF6560211C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898010-EDE6-8C9F-FDED-F0A77B6B606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136EEC3-99DF-0673-737E-12592469D3B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75130FD-2AF1-11F1-C05D-80386F2BA8D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45AE3B-F8D6-D010-3C48-82DBBD3EF9C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ADC5E8-AE8C-8248-578B-09B1067BE12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CDAF8BB-284B-03C1-7201-93B35327B6A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BC6E97D-9AA0-7C24-0292-F2ABAC26A32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ED7033E-7A5D-E713-3B23-138B0DA13C0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EBE4008-2971-CBAA-C589-BEAC059B68F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AA37D28-BF46-D3D9-96CD-ABA6DB67433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924F28-33E5-54CD-4C8E-0BF66F058DD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A24BD3-B04A-142C-82AC-CB3DA130E2D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105147B-6B76-FB04-DFB3-20D2F11DA32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20C0E28-3394-2C66-147A-02BA76116E3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E8B1B85-6B7E-A124-2C02-61B77BFC596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3B75C09-3CC1-EF7F-50AC-8CD82FFB205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8E3B456-6C0B-FADC-D718-2DA01AC911C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CDE4543-14D3-E6A0-720D-10CDDCDFE8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573D9D-7095-A7B9-B637-EDC75C295AC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3561A4-4F36-B936-D419-0AD89F8C71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EF7DAD8-2048-52A3-9B75-A38C5998E92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D170A73-FD3E-8D7F-4224-02BB8F9AFFD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806ED82-F789-379E-CAD6-73843569A3F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0C8DC78-80C8-D97F-6E2F-0FEFD95E176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EDE0E5-CC24-8B79-88B3-BDB5B3C79A1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B903C01-5EFE-CBB9-00C0-C67375F2C72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76882D-CFD6-2113-0265-6DE4DC974D3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D0720F9-2E99-B0AC-2652-60FFB8C0E7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7E6EF45-CBD6-E6B4-38A0-366F2A6FD1B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71D2B11-F84A-C9E3-E8DF-FF662460704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B351A46-193E-62FC-9C05-C299C02F4B6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915A563-D799-781D-25D4-A3DA96933D7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6FAB508-C6EA-9071-7C98-B261FDCE5D7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6EAB63B-93F7-8CF5-0A68-C66D0D40470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3F50D83-B318-2208-35DC-F5CA3C33BC8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240127-85E1-B697-5CD4-548D08B7369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4E4D7BD-D89B-1641-A06B-573A4361996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9503E15-D461-1A1B-D57B-2B930F591EF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FD0D594-D779-5492-78C3-C7E8D5DCC47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83370FD-8C0F-F5A7-0C2F-49BA8FC608A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6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28DF68-FDAC-1C81-3409-2FD6874AA9E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9534716-CE32-0DD7-A032-30F5F3A47C5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A9A066A-2610-4DF2-FC97-FB1FE4F02C5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241E9B2-CC13-52F6-4DAA-F4E488DAFE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E843CA9-9476-570D-B24C-67396D110B7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3AE279F-DFC7-A505-4169-D2266E09C50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ECD2FDF-6A55-5CF1-F87D-AEA537EDC96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1127E73-CEE2-9058-EFAD-D9E00E73135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1899844-0D9E-2C0C-5E20-D3969D89751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41F42EB-E10E-9B57-8A3A-A8D565C97D4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312DD9B-C357-CCB7-EB3C-BA167385CBE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E8DDCD0-5A86-84DB-8CCF-3369A1BE66B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B8F1928-74D1-9266-27EF-1A448543CD8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6AF06D-9BCD-DA26-E102-75DEC91D0FE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C710292-08D2-2657-038D-94FA8B9F6AE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8FA3FF7-DF27-4D36-75EA-125BF94E165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3C3169C-2CFD-84AB-323D-33EB84F597B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02FC7F9-4CAE-CA83-A7CA-8BE1B1BA155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08AF337-F157-4F41-F964-14BDDF2559B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7113235-3CAD-E197-E2BF-A0059421D2A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77F0C74-75CC-7976-77D7-F8C8EAE6B58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D78527-B08C-EAF7-21F7-1C1D40FCB52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2CF2444-C789-10C1-05FC-B92C903393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3C13884-B8EE-4D24-6C21-8BEA612DBF9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5B89D7D-80F9-0520-5316-4010047D823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3E6BFF-AB49-8590-500C-DE2A6E18840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435DB56-404E-29BB-9006-8252F8CE75E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96FA0D7-03FA-B37F-3F43-343DC390E31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496F450-6ED7-4C85-205C-D8732F60137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41DF40-0FFE-9623-9B5F-0133BF02828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9FAE267-6CDB-0DFD-971F-28587C04FA2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07F17C4-8783-17C9-CE09-88EABF346E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A4CDC64-80F9-7250-C87F-FC469E33B46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09AA020-3798-4CC0-2988-B7DC7707242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0C8FB80-FEEC-2B28-26DD-22D1B7204C3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FEB607-CDC5-3F64-2886-06E08D1620F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AC37E4-C932-25BD-734F-9BCED12508C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D93C5A1-4ACF-2AB7-BF75-3FF6C835B34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F099854-F775-4B42-77D3-E59AF06B01A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B7E8660-3210-2525-3546-8AAAA9CE2F9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D40992F-126C-F7F6-E0A6-4DED1E2FFF4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84364A8-24BF-AFE5-E2A1-64BC2662DAB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1A95E08-E2CB-D66F-15F6-39DEE7853BA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27D3734-5DD6-E371-57D2-CD8E89367CE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70BEB2C-38C3-1AFE-8680-7F0497AEED7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36038C-A7D5-9E3F-3993-DB4D6CA65BF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3184151-293A-6C48-C810-BD178EDF8A0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33AF83-C588-CA47-399C-E4CCA33B469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3716B58-95F9-58A4-3B2E-97FF9BF3BE8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ED2C1B-F3C0-0876-5B69-CFEEB473066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DD4DE92-68A1-3094-61EE-E178C0C595D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4F9FF2A-BD5F-CDF2-C6B6-3D8661CD553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87B86E2-9E98-FB9E-6DF9-C6B524DC188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15DEA50-160E-ACF6-2C23-9D3158E8DC0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4EE5D1D-BD5D-8692-1C9F-80E367C4F66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BA26F87-B712-1099-49F8-525069C11E7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F8A211F-8DEA-AAC7-3E81-33ECCC66029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FE6C1FE-6574-92B2-CB3A-186BB95350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8531831-EF05-AFCA-804A-9E6F79EF2D6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321E4CD-D07F-6A06-0969-F5FAE5DD0A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9E6C7C5-1C1A-E23A-4B61-A4DB5B2FDD1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8EE2F5C-46EC-3D8E-1160-AB7E253E47F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063DB8C-2217-0029-20F7-4D3FA93C8BF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37B307-3952-47B9-AC45-AB93497E2D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735939-3F9B-BBCC-61F9-CB7F31895B6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0055740-3636-EBD6-5036-528575D132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78FDBC-AC89-610E-8FEE-BA900C6F1D6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7D0994F-D1B4-60DF-EB57-FA6AB67B5D9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CBF308-DBCC-0315-96DB-B7BEF61CFAA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2D72040-0EFA-FF4A-574C-AA610408E04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0EDE4B4-1664-6392-C6CB-54897ED83F1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B28ED2A-C2CC-F3EE-D0C3-ECDC7E016EE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A1A5221-4EB7-28EA-CB4E-2AC403586EC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8C95796-552C-3C93-2863-5FE05E72601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78BFD19-1B3E-9766-FD7D-1EEFDB29085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89B3F93-BE12-B237-87A5-D9478CB9653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A881F6-F962-8712-BEAE-CD60F7C5DEE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E24D5E5-CB52-0D5B-2193-BA7F71EF1A1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6D03812-A7E5-6579-0C57-64F6806F85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1612F33-2857-CD6A-0BFA-2A7F81C997D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8E27F95-17F2-5E1F-E66D-F0E985082DE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7317747-AC48-2A90-8A77-96E2B3616E7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B2BDBB6-0CC1-38E7-3F2D-A0E92512287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ABAD228-A5E0-747E-6E84-FE4E998A14C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65E5715-A009-3F7D-1567-6003179E4BF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DB4197D-89F9-E340-5728-41E154BE3C8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0181FB2-85EA-C23A-DED2-E3A62B3D4AF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B43ADF3-37F0-7AB0-BDBD-C142FCB1032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9A5356E-E07C-B157-A66A-E3289AEBC67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07BEC2F-1442-3B8A-C68F-49E70DF003C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76C05C6-98EA-1356-5213-75818017E3B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84A5C15-86CD-D859-6C10-BE681656BFC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87641E1-A4C0-FE35-BA9B-76878F9D07A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76CA80F-F5D0-E5D3-A3DE-1065CF68CD1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A907213-C70E-8891-7A35-7F2A203F1B0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63C0227-000A-DBE0-2630-8D337479705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C8E29C5-388B-F3F3-C903-EDDC68C9F39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D6FC138-7DFE-CF19-B960-0CF544B432D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B49A2D-C64C-78E8-8DCF-563C0AEBDC3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070CBF7-1F7D-2484-727D-C1EF8D43942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7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1BBF94E-02B7-631E-89B5-51611F7D3E8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0B11A57-3EB9-300F-7E80-2D4E6AA337E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AC075D5-93ED-0348-7E78-02716BC169F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92DDCE8-2A5B-A87C-036C-A03EB85942E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8DA7741-47F8-C911-20A0-6E0EA295E8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CCF54BE-2073-3B38-85C5-115DE45907C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C217FC4-F07E-ADA1-ED7A-7F6D5F7DAFD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490C49-8B06-1B9D-276B-78DF9F98B6C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16FFFCD-B3AC-16A9-4BDF-5E6C93BEA76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036848D-E59C-8A6A-3C47-2B64D9F87FD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E9252F7-E6FF-7264-94E4-6499BF1C9B6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FD01577-47D0-1005-9C7C-3369C08ECD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D8663A1-D16C-659A-98A0-33C6BF99661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0A77837-DC4F-1B9E-A9E3-BA244FB4F5B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BD0E9A7-8350-6C4B-D3AA-2F6A01938F6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37DB839-DB2C-4539-8F91-D0A4F694AAB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F6CCC8-5335-E955-B3EB-B27255C6036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7974BC3-AF5C-AAA3-5790-C6D2BAFCBA1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B6FAFC5-ED13-E507-5423-FC85A5F5F6B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E646631-7660-8C24-84A5-1FB477C04CE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25412B4-0997-59F2-991A-A8B9F09791E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6EAB009-3C57-87D8-90DC-124CC6EE704F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A3159D6-349E-CF4A-92D7-619C54D6AAE5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736849-0916-858D-0783-F40ED940C70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2C01F02-0C4E-56B5-E212-0CAE910AAD3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B2FAF40-21EF-B900-1A77-09A886A6312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594B3E0-CCAA-EC41-4511-A7FFE5AC61F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5B005EC-C783-384D-CDB2-551B1945D29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B3838C6-E83C-E6C7-ADF4-DAC22E79EDE1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8BC2DCA-C2A7-E4D8-1A71-A52AB60EBFF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CD669A-8308-FEBD-4874-7E741423CF3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3430B0D-D2CA-2220-0561-6755077DB2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517885A-B405-B638-4EC4-962D2E98268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92A63C0-A02D-6AC3-58F9-FD40D9359EE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6CD33C4-B680-3C6C-B20F-F18A43F4CB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04381FC-52CC-50FB-4982-A2E5E948E8B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2740CF7-52CC-5C46-3F16-D6D3FEE79748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D31FF2D-759D-60EC-E1E2-C039449C935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60BBB1-07C1-71A4-797F-4D3962331E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4EB30AC-3C9A-0FFE-6245-D3C1A35F83AA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91EAAFA-AA89-937E-A067-5067DC367D4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9CE1DC0-83A6-2395-4926-A7E05CF39B9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68A5C85-DA97-201C-3D84-EFA40B90D3A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5713475-5B62-760C-7EDE-F32AFA960D0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E3B9DAC-2E4C-DA0D-2926-B81A1FAB5EA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D9C6AA8-43F4-627A-3D7A-39FABEE91560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09AE509-8107-029D-8E0D-EC5142BBCF09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D6154F5-F782-231D-052C-E6B2486E288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073A242-0072-6C0F-9E11-1DF27D4E2EC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701416C-EA61-C822-5CC3-1A024E57ECA6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CD1F5F3-1888-9C57-17F6-5748080A796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BD30C7E-A626-6E25-FC1F-E97E5BC4B097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2E84B50-1993-FABA-71F3-17B672F82B8C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9F6F07-B696-FCB6-731C-1E2B7BA503C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C827F81-47DA-A39E-2408-AD6B84C4070D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76FC0FE-1C2A-437F-E36A-B0F0EB23F0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68853E1-1E9A-63BC-71DE-EF6DF0EFA6A4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3749995-3DE8-6175-FFB9-A4EEE7B72252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304800</xdr:colOff>
      <xdr:row>609</xdr:row>
      <xdr:rowOff>142875</xdr:rowOff>
    </xdr:to>
    <xdr:sp macro="" textlink="">
      <xdr:nvSpPr>
        <xdr:cNvPr id="6988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AB005D6-0A79-FCA4-D7D1-00FB63F09583}"/>
            </a:ext>
          </a:extLst>
        </xdr:cNvPr>
        <xdr:cNvSpPr>
          <a:spLocks noChangeAspect="1" noChangeArrowheads="1"/>
        </xdr:cNvSpPr>
      </xdr:nvSpPr>
      <xdr:spPr bwMode="auto">
        <a:xfrm>
          <a:off x="95250" y="100336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1855551-198B-C0B0-C202-C393E3815F37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026B9AE-B779-9360-0CBB-C9E4975FEE8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03140E7-E5CD-4E43-EBD3-1089DDDD7784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DF76F05-4FFC-E168-8878-0E20A2D2D168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163E45-141F-3ED4-6AF4-E4696F24BDF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BBFCEAE-09AE-F6A2-8999-4D266B76DFE5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A36528F-D106-0D34-4E72-BE1C2642928E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6572770-9401-CBB3-DF55-6D4E41D3C4EE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2257FCE-F15B-D0A3-C715-0A10AA06DBC2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88D47C7-B2C7-FC44-EF59-06B8CFF116DF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D78020-B4BA-3245-14F5-0675CC89E7DA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DA8FFB9-0047-F78E-E36F-4D8AC9733BC7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8EB78D5-1C6B-9849-BDFF-944F821C49C4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31FA2FE-A6D7-AA42-21C8-90E089A8D7ED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A209580-73F9-D81C-C453-6366884C98C0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4689F3F-E330-6ADB-D25E-6D9D6FCCA70D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10ABBA-E43B-1C60-ADF4-78B67642231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024974F-9A06-05D0-CCF1-D6057B3FFD94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B77BF02-10A0-DC10-D217-41FCE50DB86A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2EF257C-046A-995F-95E6-5A9698930AB8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3D707D7-9062-4F82-46CE-6BB2C8F3474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1FB2FD-7A58-63E1-26CD-68AA77F10A43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2F7CA0E-DD84-ABC5-FF4B-C2F411EF2090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FC5E497-5071-DC84-7C56-C3D8DF8FB1EC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3BFA9AF-89E7-4662-57A8-A29AEACA9DE0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92D16B3-FA2A-B008-5B0B-7B9C36B08BD7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8A3431-AC65-B05F-37A8-711F9934ED5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89F27AE-40DE-06FC-A2C8-27FC66F38F9B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627AA1E-4B7E-0826-FF37-C99DE7F5D53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1E49150-6794-54DD-D62F-4B69A8195CA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9C0136-7BDD-2A02-1B08-C37709B6640A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85A86E-5E44-9FC1-244D-CA0F2E130EBA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967CA18-A476-A3EA-01C1-F6A047C37087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886260D-A8F4-2FA8-A0F0-BF09EA8874AE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7720BA3-CDAC-0B4A-8F72-3C6CDDFBD7ED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8EFA275-3B24-3307-6AF6-077B3B4F61E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1866063-0027-687C-0F15-8AD04A65CEC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7205C17-5549-7C7E-6E3E-C9D6679C7F95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E7192BD-3ECF-0077-EB43-5FCC1108DB55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9FD54A4-3A1C-30E8-A681-896AE005512F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0324748-1E4F-B4AF-74EA-1DBC73DE6E6B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8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513E7AA-6D76-ED3C-B2A0-5FE3036497CE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F3C0D5-6AB8-741A-64B8-7D58B58CEACF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17BD190-8870-ED26-95DB-A4892219286D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FC3CD1E-E180-160A-E27F-BC0C1B35BBA6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2CEB4F9-2762-DE87-EE29-0282B0919B0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228CA0C-C5EB-70E3-F957-E22DEC37AECF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304800</xdr:colOff>
      <xdr:row>519</xdr:row>
      <xdr:rowOff>142875</xdr:rowOff>
    </xdr:to>
    <xdr:sp macro="" textlink="">
      <xdr:nvSpPr>
        <xdr:cNvPr id="6989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84A1E42-55BD-EC10-DBE7-FAD1965965A1}"/>
            </a:ext>
          </a:extLst>
        </xdr:cNvPr>
        <xdr:cNvSpPr>
          <a:spLocks noChangeAspect="1" noChangeArrowheads="1"/>
        </xdr:cNvSpPr>
      </xdr:nvSpPr>
      <xdr:spPr bwMode="auto">
        <a:xfrm>
          <a:off x="95250" y="8576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5F7062E-D4A2-DF69-9DE8-F88803238981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4749965-323C-440F-05B1-F88815073D17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C81A754-ED27-885F-F887-84B7B1CE9DF0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10F48B4-9D18-CF48-4BAF-33F51E678F85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ACCBD06-E703-30A2-A1DA-05822715463B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BEFF6C9-29E4-ACCF-F688-81D373B2E31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C9F3AC8-3288-1592-85B0-FE229493BA03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1C3CD2-AE96-619E-4C15-6FCBE6CC9F0E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29C74E-5DEB-7142-0211-86C4B4DA6521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505EAC-8A32-7288-FFB0-DB9CE9F4198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C040252-63A7-2588-6358-284C71A59CBA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01BD7D1-2A5C-0704-D865-6D5DA4D1B3F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63E8F16-82BC-09C7-D012-94C1EE564487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E9FF844-888B-C026-6BD6-C3DEFC8B786A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FBC571C-46B6-6FAC-FF04-6A9ECDF5BFC5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A155F84-0E84-3FE7-2DC7-D0EC0C004055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F8108B0-822F-6D02-7DF0-FA712F4608D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E1C044D-04A9-8844-F2FE-E2F83B75EAE1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C7CF171-5BC6-A6E4-0528-37B17E1D022E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FECB4FA-17A2-D5B1-F37F-339A01F72248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E762C5C-DF10-16CF-7E2D-B2C127AF9273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F2BD51-4997-209A-7476-97E2E5CF9A8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27CDB4A-7105-AF1A-4B5D-465A8E914C2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850D996-893A-C65B-E0C2-80A6AB56295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9E3A2E4-42D0-D3B6-25F5-3617E95D8467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8150878-A215-5E79-677F-96ADF526E39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89F0E2E-4715-355A-45E7-C4177B979D6A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D06536D-2F81-46A2-7F1E-E0C340503F6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0B7BA4-5A99-EA59-BAF2-12E10FA84AE5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E141D2A-9D08-48D7-B0D0-0563B28116C3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70FBDA-A060-3C52-A670-39DE9F21313F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DBC2CE-4B04-B53A-FAD6-1068E91E31D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193E5E9-95B1-D093-9A7E-4EC49691337A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3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6722524-649C-8C4B-6535-08C18D527D4A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C6452C9-EBBA-B869-0AD2-C17461B5EF8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4651DB0-7847-B9C2-00C1-3AE2083848AC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CBF9FA-4FFE-4825-F138-CF54FE145943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D1B1F60-78E4-EBD0-9A2D-676B6F074B01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DEF7FB3-2AF8-B6AA-E6DC-413410B373E4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DA0C677-D8BC-0887-F9B8-842375D4E04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6BEA490-7FA5-4DF1-312A-45B076C42364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6D1785-C381-3388-7B1C-7D1A0CC86647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D7E3E31-5F0F-B245-B83E-09AB6C7D3163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7A81D35-2C03-0E84-FD99-3859B6F7BE12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362FA83-485D-1854-764C-0F4D37C548BF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6F55973-5602-6503-F142-F306A4E5F8B9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396A645-CFA8-97AF-152D-1DD87BEFACF6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304800</xdr:colOff>
      <xdr:row>513</xdr:row>
      <xdr:rowOff>142875</xdr:rowOff>
    </xdr:to>
    <xdr:sp macro="" textlink="">
      <xdr:nvSpPr>
        <xdr:cNvPr id="6989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458CB7A-7179-F745-6BA6-7820AC1A710C}"/>
            </a:ext>
          </a:extLst>
        </xdr:cNvPr>
        <xdr:cNvSpPr>
          <a:spLocks noChangeAspect="1" noChangeArrowheads="1"/>
        </xdr:cNvSpPr>
      </xdr:nvSpPr>
      <xdr:spPr bwMode="auto">
        <a:xfrm>
          <a:off x="95250" y="8479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2BE7F6E-2715-3422-6122-36ADB466C2F5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649E4A3-77A4-FD40-3F23-457973CC4C3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A7D610-54B8-EAFE-7C80-74E368A8DFD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B404F6B-7408-8727-9BDB-A5362B3234E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233045D-524E-EBBC-614E-D4667FCEF7E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61CCED1-0AA3-B128-F2A1-2C37A133A4FA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7120454-1C5B-603D-50E2-C0977B46507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CD09D6D-6BB9-0978-0801-BE943DF78625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DA670B3-2B5A-9742-1AAE-7E60B1482277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696A8B6-6B64-755D-EA54-D107D3E3BD6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347A21A-089A-759F-BAC3-DCBFCA77EA7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0B094AD-96E8-A08E-5495-CE82037A9476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C314902-D705-5DB3-2706-F665E7F4A48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0757B0D-CD9D-E6B7-AE03-54ACB362A3C6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0B87DA9-B85D-08F6-937A-661575CBEA1E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F70CF1-AD76-0817-F3D7-428B296C7A0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8EBA70-87DF-E824-B985-B44D585312C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6364E3-B601-5682-21B4-62EF1015396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234F61-04EA-6184-F2FD-094FF645DAB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7D793FA-E9B2-EFA2-6028-99D5E632E52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51C21CB-7604-DE43-273A-4C739274AD3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738CF17-6431-D6F6-F7BE-D92BFBBD5A3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A1251DA-821C-4B14-D2F1-ADC2183B819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4F3C4B7-4675-C3A0-3FCA-B00775057DA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437B47C-9F2A-68B5-EAFA-A779DE1CBB2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912906-7F2C-5EAD-FDB1-EA066902BFE8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4F32B85-5220-E3F1-D93A-F46FD4EF102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99F312-EC88-2BC3-ADE5-1B8860A4F55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1F6720A-E16D-FB7E-F243-45CD4DC80C63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71409C7-5886-2BB8-2C19-65CB8D821E8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7A6EECC-BDF8-782E-6913-EBD61806CE8B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7EA5335-E2DD-EF7D-5C5A-563AD483F4F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D50FBCD-70AE-2962-7A7F-42DE170143F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0D0B223-CBC2-CB61-7493-D33B67C85AF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B300524-FC81-177B-7627-FA31605B5D0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F8BE07-0277-A0BC-8510-8C7C3507D452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8CB6EC2-C737-18A1-79CC-754BF2624059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DCF5859-5734-99A3-1405-6B594007A6D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AE54B76-1CF1-C91B-6D74-CC5541444900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FDE7A49-0787-0335-AE00-E4BDCE38D38E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3951112-4ABC-FC01-7FE9-79603994A2D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B2C9886-76CC-147D-4687-C7314E465CB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168AAB9-9D33-A807-AA1D-1671BC3526CC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AC03BB4-6FE8-0D69-03ED-380AD1773D71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17A2DEE-0B32-819E-D4C1-71360909CBDF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89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4B47540-DA8A-ADB2-77DB-E68B95903344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90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47C7D1-5567-0833-052C-4A4B84BF8CC7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304800</xdr:colOff>
      <xdr:row>502</xdr:row>
      <xdr:rowOff>28575</xdr:rowOff>
    </xdr:to>
    <xdr:sp macro="" textlink="">
      <xdr:nvSpPr>
        <xdr:cNvPr id="6990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6B4BE8C-99F2-BA54-3EEE-7F3FED223C2D}"/>
            </a:ext>
          </a:extLst>
        </xdr:cNvPr>
        <xdr:cNvSpPr>
          <a:spLocks noChangeAspect="1" noChangeArrowheads="1"/>
        </xdr:cNvSpPr>
      </xdr:nvSpPr>
      <xdr:spPr bwMode="auto">
        <a:xfrm>
          <a:off x="95250" y="8284845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</xdr:colOff>
      <xdr:row>68</xdr:row>
      <xdr:rowOff>9525</xdr:rowOff>
    </xdr:to>
    <xdr:pic>
      <xdr:nvPicPr>
        <xdr:cNvPr id="699002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C93C3784-29B3-2D2F-577B-5A7F2D7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2896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304800</xdr:colOff>
      <xdr:row>382</xdr:row>
      <xdr:rowOff>142875</xdr:rowOff>
    </xdr:to>
    <xdr:sp macro="" textlink="">
      <xdr:nvSpPr>
        <xdr:cNvPr id="699003" name="AutoShape 6083">
          <a:extLst>
            <a:ext uri="{FF2B5EF4-FFF2-40B4-BE49-F238E27FC236}">
              <a16:creationId xmlns:a16="http://schemas.microsoft.com/office/drawing/2014/main" id="{22D0A351-7E8B-A714-2086-C891CC2C5A75}"/>
            </a:ext>
          </a:extLst>
        </xdr:cNvPr>
        <xdr:cNvSpPr>
          <a:spLocks noChangeAspect="1" noChangeArrowheads="1"/>
        </xdr:cNvSpPr>
      </xdr:nvSpPr>
      <xdr:spPr bwMode="auto">
        <a:xfrm>
          <a:off x="95250" y="63579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561</xdr:row>
      <xdr:rowOff>0</xdr:rowOff>
    </xdr:from>
    <xdr:to>
      <xdr:col>2</xdr:col>
      <xdr:colOff>304800</xdr:colOff>
      <xdr:row>562</xdr:row>
      <xdr:rowOff>142875</xdr:rowOff>
    </xdr:to>
    <xdr:sp macro="" textlink="">
      <xdr:nvSpPr>
        <xdr:cNvPr id="699004" name="AutoShape 2048" descr="Posteľ DIANA -">
          <a:extLst>
            <a:ext uri="{FF2B5EF4-FFF2-40B4-BE49-F238E27FC236}">
              <a16:creationId xmlns:a16="http://schemas.microsoft.com/office/drawing/2014/main" id="{EEC928D5-507F-382D-DF41-214F6457426B}"/>
            </a:ext>
          </a:extLst>
        </xdr:cNvPr>
        <xdr:cNvSpPr>
          <a:spLocks noChangeAspect="1" noChangeArrowheads="1"/>
        </xdr:cNvSpPr>
      </xdr:nvSpPr>
      <xdr:spPr bwMode="auto">
        <a:xfrm>
          <a:off x="1247775" y="927258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1F906D9-C908-E15C-52B4-86FF9AC59456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507375D-D683-794B-9784-F930F91FB2F1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5B6D35A-2065-BA3D-4674-DA1EC8550F2F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3A5D891-FCEC-776D-3A2D-CA818731F3C4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36E7F88-80A8-C744-57C8-84ECC576DF48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9989DA-25C8-F8B7-BD5E-7848ABD942E0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A341618-959D-2BFF-DDD8-013EB5761AD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C71B830-A04E-8700-5ADB-DC1D57CC26B2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015C34-F153-55C3-A181-2D640F3A564D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59B2FA6-7475-90CA-376E-5E908AD81E81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4CEFE17-CF92-8AE6-86C8-FB803BB5F566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406EC0-C36D-269F-5612-09944000C369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55687AA-B1E4-1D71-EC67-15A056A33B21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80B2254-7642-7FC8-104C-0FEBC0856EB0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959DE84-1F4F-B72B-6A26-6D8A0EEE5F15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006802D-16F0-AC3D-DB03-FC787FB76636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563877D-E0D2-4991-7650-9EA2F1C3D03D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9F2B0E-E9F1-7A18-0982-23493B2C6B7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0D19EDF-9026-B87C-0FAC-D2EFB563D43A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13E89D1-7FE7-608A-03C2-07F353BDE49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D3B702-DA05-630A-5FF8-1ED5DA8037C1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7C9E883-010D-DC10-65D5-4035376CCFBA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3B92726-ADFC-8021-7E7F-D5CB2CCE8855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C340346-23D3-14FC-2873-1274BC983B5F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F0FCEE8-D009-3DE1-1DDA-1BB51CA694C3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88EDC6D-33B4-E42D-4AC8-46E6B5DE6460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32D8371-17ED-FAF0-813E-C993F4B20D36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51E2B17-EB00-D86B-28C0-E895F634C2AD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EA1A9B-128E-E832-A0BD-F58063AB4FAC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E8B51A2-2323-2105-20D6-579BEACDD5DA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CCE6DAF-4F44-4CBC-6836-8DA0FC58B070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302C3BF-7959-9900-CA4C-DBA7137159BB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E9FB85F-20CB-9B88-800D-25ADEF7AB4AB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3C761F6-85D2-283F-CCE8-AB4E5D2B965F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DEAF1E2-CB8D-418B-DA1C-F03E672D34C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71A8FA0-0D67-8568-A3BB-D3482024F946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F267714-C086-B409-357B-2A6DD566FE8A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8B1DBFE-2A68-2810-8380-BCE8FF3E79F5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3557EA3-08A9-9BC2-F1AA-42032088AF8F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51BFC7C-CBDD-F1D0-0472-E15880D5329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BFAA4F0-720C-710C-3F9D-1883F845CA8D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DB78C9B-BACA-C4D7-B36C-BE8098971D7A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0EE6497-5F76-930F-1A75-7264087408A3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34CABF5-7894-14BE-5A1B-87EC4482D3D1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21F62E6-9D43-89C6-7577-EFFEE3F276EB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AE7857C-F48F-35AD-15AD-BEE9E772395E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8A516CD-2F88-6C50-6493-50FAE14C6C0C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142875</xdr:rowOff>
    </xdr:to>
    <xdr:sp macro="" textlink="">
      <xdr:nvSpPr>
        <xdr:cNvPr id="6990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B2353C-F8FE-D152-DDEA-38988C346190}"/>
            </a:ext>
          </a:extLst>
        </xdr:cNvPr>
        <xdr:cNvSpPr>
          <a:spLocks noChangeAspect="1" noChangeArrowheads="1"/>
        </xdr:cNvSpPr>
      </xdr:nvSpPr>
      <xdr:spPr bwMode="auto">
        <a:xfrm>
          <a:off x="95250" y="93211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253FB16-1B60-7B0B-1D2E-9E65F7D0AE5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33801D7-8DC9-CE03-3BF7-C5079383501B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4D45EDD-83BD-D12B-B5A1-59FBBC5D9D6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35AD3C6-1687-17DC-966F-BFB2F6D88E92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7A1A9CF-53DD-0DB0-DE63-293389902E9B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0F1C188-2D5D-AAE0-4C75-904B352DA4B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D300F78-E2CC-7ACC-9AB3-010178731D3A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1FA5BEC-EE17-2E4A-D94B-0EAE6819F9A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3380E10-7D00-F6FC-0C29-5CC6F0E6C1E7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3856049-14E1-CB6B-78BC-3C223CA3DDBE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F402508-5A6E-F5AB-27DB-08DBDCC42A72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E47617-0C3C-2538-33B6-9F8576388AF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FC4797D-5E22-3CA9-0493-740930359394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62C3AB8-09F5-1B89-D9A1-A5BBDB686EEF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28D047B-8976-0D15-75F8-8606B975B9E9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544A78-01C9-1E66-36CA-DBE99F5DAB14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F8B771A-3495-D1D5-555F-E867588C7C58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457C228-38D1-6FF8-F0BE-6DA4E0880882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FA10635-84D9-60C6-78B6-3ADAE11488E8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F26F06A-5AEC-6B55-4648-F57CEC52BAC5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7CC29F6-E2D4-A4BF-6DFD-4172D2117227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BA700B-1966-0CDE-A307-98D000AFE1EE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2243ACA-0F09-0279-DA9B-F55907CB4380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8FDEBAC-E2B9-A864-9813-BECADBA0BCB6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440FCF5-0A3D-F0F5-C906-F5376C405CD0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BA633E1-8208-85CA-A80E-172EEF382369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7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908C3EF-ACD2-4D1E-9415-66CC68584C3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7EFE5C4-10C9-2F84-2FF1-579BFFC2657F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DD18BB-06D2-2BC8-9A57-E2C7E829ED27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B5944A-0E8F-F386-F48D-3B16D37C16FA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64A356D-CE9F-8790-FAB9-90DBD47DF7B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B540AC8-1B6D-2857-8924-FB914AB18FF7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CD9DCE2-C7B2-B90E-5FF5-CA5C89FD0AD6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8CBEAF-EA19-BC39-BE42-F6AF54BAD67D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FEECB98-ECA5-CDB3-C656-70ADFF2D0F64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3A16DF5-4FE6-A3CE-B86F-CCADA8519F83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37CDCC2-79AB-78D2-F963-DE173972FA98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16D509-ABF2-CE2F-3A71-B0413A63B000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AF4E750-4886-4136-3B7D-61DE0E8B66C8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6170617-FDEC-93BB-9A3A-CC8909B4C25D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160C75F-2092-D10F-1F2C-E736365DECC6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6473FBF-E492-1C7A-DCED-02EABEC9F3ED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89ABDA6-80F6-0FA3-B572-2D19FA6853DA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D6F215A-4B0F-0A5B-E73E-FD190A0D1B29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B6DDA46-4458-42D2-0A04-B23BF93EF426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142875</xdr:rowOff>
    </xdr:to>
    <xdr:sp macro="" textlink="">
      <xdr:nvSpPr>
        <xdr:cNvPr id="6990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4346432-8746-E084-55B5-1F37E2A5DE00}"/>
            </a:ext>
          </a:extLst>
        </xdr:cNvPr>
        <xdr:cNvSpPr>
          <a:spLocks noChangeAspect="1" noChangeArrowheads="1"/>
        </xdr:cNvSpPr>
      </xdr:nvSpPr>
      <xdr:spPr bwMode="auto">
        <a:xfrm>
          <a:off x="95250" y="19211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0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3C548C-3A4E-0A26-695E-3EB934927CF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737A978-5430-906E-9950-49E9056BEF43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F1BEF2-A8D9-78A2-0E1B-1F2E02064AD4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4DA8530-CE49-5D1E-8193-7C6CA8BD3F3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77FC137-2745-DC47-4EC5-7397DC31DE59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D1F1418-D010-9A20-3E78-5E2444DD8EC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0F922DC-77FF-1C63-10E9-AD395865058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658492-D823-4A87-C73C-488B1DDAEB68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E990982-8716-F6AB-794B-35915C04F57B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B600DFE-4ABC-5A6A-2989-F088FED1E68C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915465-7EC0-796C-5725-36CB6F9C17D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04BB431-2F37-2EE8-170C-13C4D0F4AC6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E14F275-290B-3F9B-4AD0-26628591C3E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2505BE9-47AF-50B2-F38F-989F5231572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6A3A8A3-E277-E5F9-7CC2-6BB33D582D72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7C425DC-53F0-CDF3-3637-CAE28C15EC72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60E3C55-5B0D-9145-D47A-A4B6573A5C81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DBAEDF2-C8B5-69DE-5E02-85E489D6438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3DDB13C-1D11-7FBB-3A58-1F541BFA11E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BCBF34B-843D-31B4-12C9-52E79BE5DFCC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1E5210B-609E-F932-D2F8-9A5028BCC55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392F4FE-5DCD-DCC6-BB6B-7C3E18B953B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AD55EC0-8192-729F-7DEE-51CAB1744761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9BB1419-8DFF-B219-A697-B92EE17E1E0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9EFD8A2-F626-AA8B-03D0-583BE9D6D42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D811BAB-3F18-E55F-3AF1-150F7FC9769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CE84C7D-436B-15CD-5CBF-77050D17E93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C0D6FE7-B10B-BC81-8413-06EDCAA5CC9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85DFDFF-5F42-A844-E609-1B0F240E9C4B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699913E-DAFA-F922-CADD-30F65BCED57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36F836-D54A-0B0A-5DAA-41932D23BAD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AA5D61E-9B0F-B2BF-52DD-7754AC0C7314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EA86C92-C653-784E-E56C-70A2AA8ED1A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BD8650B-4082-A28A-6AEB-914CBCBA3BF3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CAA7E66-9492-7E3C-BB83-BBACA7269A01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278AB26-741B-2FB2-8106-58C0D8B11243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8232C7-FA40-09A5-A28E-54126D6AD63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2933A95-3453-EEBA-154B-940D27AA7E63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CDAE0F-0FC1-E7FE-93C5-3E41FFF17812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C2BAF58-B416-1543-4F7A-44425D14ECD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20F51F1-1FE0-49C6-D6A9-5E64A980F1C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4E11975-A196-3F38-6AF0-CD2A59F93BC1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6506E7F-F0FD-9EA3-5DA2-A8B82BF18BF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106D144-5D25-2608-712D-33D987034B4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142875</xdr:rowOff>
    </xdr:to>
    <xdr:sp macro="" textlink="">
      <xdr:nvSpPr>
        <xdr:cNvPr id="6991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5180E88-9D63-0BF9-353B-11748AEC107C}"/>
            </a:ext>
          </a:extLst>
        </xdr:cNvPr>
        <xdr:cNvSpPr>
          <a:spLocks noChangeAspect="1" noChangeArrowheads="1"/>
        </xdr:cNvSpPr>
      </xdr:nvSpPr>
      <xdr:spPr bwMode="auto">
        <a:xfrm>
          <a:off x="95250" y="2002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8B93593-6FE2-C24B-5671-002196E4C8F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CB7FE66-9FB9-193B-91C3-CC118883C81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CA98777-0D6B-FCA1-24ED-CECC295DAD4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BE83C9B-8696-41EA-9410-59D11CFE70A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6CA37D-1B44-1F1D-791D-90E4D287BB4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497D0AD-3AD8-920D-76F9-F847F493C6A2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E29F0B4-7FB4-8570-3DC9-93E90C6941C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08A255F-829B-6158-BA31-1CE29467AEF9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8E1809-087E-F8FF-4909-A06EA597F7D8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05EB99-FC39-013F-A71D-CFCD2BC4647B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3EB862-9211-4E14-2B0E-4E9DAECE914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184A296-EC65-D53A-3AE9-40706AC7FF6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A84B13-E41E-7677-E922-AA44EA33E09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4CAD69-CB96-1CB5-A039-A45C2005D51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C0F0EB7-4062-C9D9-7C4C-43C3EC2713D1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CA13F4A-8558-9616-56E6-4FB4CB7132F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BAFBDC9-9F09-8A93-B99B-614BB2069CA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728E801-1655-57AF-A3F3-F31EC9425AA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540A174-8AC0-690A-0C45-590977F3126C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1F894D7-BD44-3121-9CB4-FA62FA51A42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22DAD71-2521-4AFF-2BAB-D5F0AF8A048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C8C0F04-339D-901B-1456-EB2F51193ABB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9130820-C82C-856F-E1D9-AF87C2C0E3E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2DE957F-0E53-6B96-FBB5-02DBB4700F6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A8E4F32-CB38-3F31-9F35-C5279C60978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9F1AA0A-D7CB-8F76-0A1F-41F5326E2C0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3AEEFD2-40D7-CE82-1951-10A6ADCD0C83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D4403F-B902-E4EE-D7CB-A0B65299690B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FD2D55-D615-FA37-72B9-65B2F77BBC3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507E0A8-18BF-E185-1B0C-8013546E1839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1D6F2DB-AB06-21AF-C995-D7D97C75B20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27E8405-D32C-54B4-665F-87940847BF9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3743DA2-8495-53A1-6B47-01540334110F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AE6C39B-C9B3-D101-E7BC-3195BD3CCCAA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CCCC0B1-CB3E-71DC-D8D0-91F025D1951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3AB97F3-3397-7636-0905-41A901659ED8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F0CC645-370B-1E7B-8AAB-B9BD9F5D35BE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EAD650B-2658-2DFC-B078-0B3DCA47A05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181B9A2-C701-F99D-C947-84EBE442E126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54FD86A-8CB7-C1E4-5983-4795BFC8C5C4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28A39D4-D5DF-797F-6DA9-5C45BD3324E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DFF2932-1F43-A457-7DD2-0D62F4D113A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A533EB6-E9A5-87A1-DBEE-114B07B682E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318022-99EE-2E7A-94FA-C9B25EB5C9BD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68CCA54-2630-D0C0-74FD-85A2612AA278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79CE7FC-4110-26D7-F2FF-4617F9C98BC5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F99FE95-2D1B-3C4A-CA47-35F13B695670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142875</xdr:rowOff>
    </xdr:to>
    <xdr:sp macro="" textlink="">
      <xdr:nvSpPr>
        <xdr:cNvPr id="6991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2D9D229-7320-5F48-C193-B5767E7E5D67}"/>
            </a:ext>
          </a:extLst>
        </xdr:cNvPr>
        <xdr:cNvSpPr>
          <a:spLocks noChangeAspect="1" noChangeArrowheads="1"/>
        </xdr:cNvSpPr>
      </xdr:nvSpPr>
      <xdr:spPr bwMode="auto">
        <a:xfrm>
          <a:off x="95250" y="209931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F7494ED-1FF7-D98B-9008-15DCEDFF1DC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376B1FC-AFBD-7492-FF2E-AFE453779D5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81EB1E-8D19-C1A3-ECA9-0D4B8A4F53E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307E7D-C159-9497-6923-F8B07BAF9DE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20BA961-4F1F-0952-0B11-1547C91D2AD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01878B6-A628-7DA0-22ED-56E59682646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BE7D54-C517-114E-DA87-72482059A64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1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B6392CD-8046-5B77-D33B-B98712420325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4C579EF-EE3B-CE91-4D35-B7837BE8B1F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76DA16C-0E25-0268-A67F-388D15A15B6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7D119B-F7A4-696F-E1CB-BD1F6FF6280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CBB2653-9453-28BD-DEAF-480F43DCD09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26F61DA-1361-0478-1BE0-4DDD7B65AFC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F6C047E-316D-104D-1E95-02BBD8161E5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315A9CE-C8E1-20F0-CFE1-5994458713D9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95D8EEB-A9D8-115A-BF9C-30F3F33D28AF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E1B3E92-83EC-98F2-BE0B-DBC23CFFD46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4C1DCB3-B508-0CD9-A1CE-E02FD8D950A5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6624C37-3A74-BF9B-F8FC-920B7BE34E8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C1CAF2B-2DF7-BCF9-6199-879C3D24EF2A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B4361EE-2E06-F46B-944D-125D0830F7D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240C2A5-35C3-294B-3896-64678F1C721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024EA9-6EF3-3342-CE81-DBDB93CB19B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527BF17-367C-31A6-32D4-B336FE3377F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7658494-7186-C977-9554-CC75CE1D2E0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D705934-D207-996E-CA0E-C45FAAD8394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400A4FE-4834-AC9D-3D2A-D06DC1D385A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1938795-5313-EA1F-9CB6-78C88E8D9DA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C4B9B7-B70C-6FCD-48F0-F830ABC4511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1AD0E88-5EF1-34EC-D971-7ABD673B705F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57269BC-AFAF-AB4D-7FD1-BB276253B00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49DFB91-666C-2E9A-9997-1F45A1E4B41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A3DCBC-3189-12A4-C4ED-C78B30DA5A4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33BF5C3-B470-4EBF-7F3A-978A01A7BF0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46CEAFD-853C-F9FC-DF47-A9E38D07CFF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9DB9949-7472-6193-6910-2233DBF228C9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AF301F4-4705-213F-F1F0-30AE6D011E80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29A35BF-AD30-12FB-ED85-617335F3794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3A57D7D-A23E-CFC1-84D5-61B06401005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AD6C6F-F4B7-8F85-C990-EE4D8EA13B91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FB5A96B-6A7E-9976-25E0-2313DE3E219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F307927-11C3-CF71-6967-BFB6A074AB10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2C41CD8-2D4E-AF8B-D6A8-50F01C042A6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E264059-37B6-90B3-0CCC-D7E8AE3F4913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A4B64B0-6C77-DD1A-2AB8-774E31736EF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346B2E4-5FC9-7D02-09C7-117872EB069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4E933F0-F791-8EF0-7821-F4FA317F393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142875</xdr:rowOff>
    </xdr:to>
    <xdr:sp macro="" textlink="">
      <xdr:nvSpPr>
        <xdr:cNvPr id="69923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C42F1B-5E3D-0527-5831-9825410A292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15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2698D63-C11D-0AF0-9C87-464984BDCC50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53B2AA4-CDD3-B900-D6D0-71FCDEBD1FDF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614455D-52CE-B2D4-474B-3A55ED5F88F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507048F-651A-CB35-B093-0DCCA623D54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49BD1B6-6246-EC08-4101-5AC0F900D2F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8619CC6-FCD9-0DCB-90BB-03D57188F919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105459B-BAB9-8C53-B6BD-011C925B0A0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10E5FF-899E-4327-394E-45DF1A6912D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510D2C2-87DD-86A4-C8AE-61359B24D9E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66C7E4F-93FC-6F56-93FE-356B82A99E6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745612F-6403-2753-71B6-5591EA452DE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C54D7E1-565C-1527-9D3F-9DC9D472778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4809DAD-A9EF-59E4-0C84-00C0ADE7FE6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43FBA8C-5304-864A-3D7F-CBA40B6A8B0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2B03584-EE3A-D50C-270B-9F949FEFE489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3619C86-1A14-0DBF-A7D0-9ECAF798627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77A0CCB-54B9-CA71-E81D-2C3AB13F2E2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E41F856-7327-2186-2D39-300C30DBB16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A3AFACD-6694-FB31-37A3-5E8A200729D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92305EA-CA1A-7590-3B83-0B1F5E8242AA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9B65EAC-7F37-9643-E577-813E962DD5B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3E0C5BF-7C4F-4E6C-4DA3-8BC078B19FC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EA2DD5-4252-7269-35D3-8B4221A2FD5E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0898D8B-626A-65F3-5D07-3B4BB9EB250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3161801-96B6-E845-E8A8-02BA72D483B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7E74786-B6D4-FF9E-9095-49D915BB697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B2A14A6-574E-56EE-65E2-60D43E2999D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453AAD-373B-9ACC-009D-5807B600301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07B8B01-234D-395B-826C-AC7E37574DA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E6A1091-2525-42F5-2098-5BEB0CA4AE2B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DFBA32D-930B-86B3-16A6-C1C54F02CF77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E3BD888-5A66-1836-4DF5-52EF6561ACF9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5F19BE9-79E8-DCFB-38E3-2C7236552F0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FCB696-B098-3C56-426C-31893A9C1E34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0B446C0-CC2F-AAF6-75F5-BDAF23C47180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B4A6163-2670-C6AC-68BE-A6F021CDD373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2138505-351D-30F7-4C14-88A2DCB3F55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E8C971-A675-DBB8-5F15-A9604E2CD78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A4DCC6A-B4E3-E08F-E20C-A115DDA83C0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4C2AD71-4ECE-3E5F-3613-991C7A3AFDEA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AC03ACE-2C29-4176-D2A4-AD5855D01A8C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70B31DB-8310-A3BE-4EDE-59CFF2F89E4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4C47A78-C1FA-2C5B-7DAD-DEF2DEE31D0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8D579A4-D029-A8BF-4698-529449C1C6DF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36A2F71-82CD-2070-7111-FD0740452D86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D7C07A0-F04B-28FA-E6BF-8FB4A2B75DF8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88FA53-A28E-2565-E452-AD2B02A285D2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142875</xdr:rowOff>
    </xdr:to>
    <xdr:sp macro="" textlink="">
      <xdr:nvSpPr>
        <xdr:cNvPr id="6992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88DA3A5-C96F-1520-74C4-E05935C7BE0D}"/>
            </a:ext>
          </a:extLst>
        </xdr:cNvPr>
        <xdr:cNvSpPr>
          <a:spLocks noChangeAspect="1" noChangeArrowheads="1"/>
        </xdr:cNvSpPr>
      </xdr:nvSpPr>
      <xdr:spPr bwMode="auto">
        <a:xfrm>
          <a:off x="95250" y="2196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76E0E0A-9F6D-FE2A-C879-087DACA931DE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D218CF1-8ACF-D843-F5A4-194FDF657E7B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9190E7D-65CB-DECF-332E-D757DFDC78E3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5C14131-C6DE-6F53-A1C0-026D2B398794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07B258E-8B00-FE3C-E5EA-2CE7A86138F7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244DD1-E582-AD1C-8E7B-B6249D06C8FC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7CE7836-08A7-5B7B-6A69-EB6DF8CA3F21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1F0CEC9-03BE-5E68-0BD6-CE437890F754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DE47828-FB64-C26E-C274-0E63A790B72A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7E136C1-6789-1BBA-1A1B-90BE8B730B6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F0223E0-DA1E-F9E4-7008-3F062FA3B03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2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777F6F-884B-E8EA-BEC8-D2FFBA875AA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937093A-5A58-A0A2-1C7D-A89E5301954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AB2F8AB-71F6-DF9A-D81C-884A02BA9250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7D694B0-4634-71CB-255F-C2FCA5067F7A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37111B0-05DA-473D-9198-4FBFEED6CB5C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26C8558-4796-900D-DA04-9F67621479E9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29A0CA5-B162-13E4-4EC3-B439F8203885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194A3F4-1F75-D0C1-A9B6-BD7ECA2051B7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B7A4DB4-A106-16EF-6104-941AAF17EEF9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FF707E9-EA54-17C9-D278-F80CE238A793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90DB2C1-DEDD-A1BC-0B48-2B0C2EA3791D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308E3EB-9ADF-5F17-30C2-88EC55CF787F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BD74CA-759F-D39D-6816-34C8A5D5C2AB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5BBD484-45E6-F910-6259-40137B45B3C0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020A44E-1448-300C-5F8B-827B9F49A1E0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6C70BE5-8792-7537-A63E-EAB038746492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A703501-7B6C-8660-A020-94863FD6FA5D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1C69FB-B365-E13C-000A-BAC7823EC7E1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5167B64-6484-0E05-35BB-098A37B2AE92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DA3E4EA-BBDC-496F-93FC-76E0E575333C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D7688F2-5080-2BA0-B7DE-6BCF615F15AD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5C0839-AF61-1EBF-A82D-07DD98972AB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7747393-10EB-41AF-A1A1-D1101328AC96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50B9DFF-4772-FB47-7F15-F609129FA3C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6A1F639-7356-ACEA-1A34-0E7E04F07973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B52008E-BDF1-6EAE-10C8-8D55D3FC1F2D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24498F7-2BCB-DA3C-397C-A2D11DB043BE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892C9E-8980-D340-AED0-8F6338B1A44B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A08768A-49B1-A22B-E42D-D41A99B895C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C02F934-9158-C498-1E7E-A62FB412FAF0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F7F6CD3-9671-D0D7-793B-4FBC00B89A02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FF57515-EBBB-462E-F9FB-883087DA0E04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74F7B7A-D175-B33B-840F-F21ED9C4AFC2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5378BA1-54C9-52DD-E0EB-C924A6B4A9F8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68845D4-B67C-94FA-38B1-876E14AFD39D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8A99004-51C1-9ED4-DBA0-587829BF9B5A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142875</xdr:rowOff>
    </xdr:to>
    <xdr:sp macro="" textlink="">
      <xdr:nvSpPr>
        <xdr:cNvPr id="6993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8F25796-71E8-A758-817D-9C7F0BD348B0}"/>
            </a:ext>
          </a:extLst>
        </xdr:cNvPr>
        <xdr:cNvSpPr>
          <a:spLocks noChangeAspect="1" noChangeArrowheads="1"/>
        </xdr:cNvSpPr>
      </xdr:nvSpPr>
      <xdr:spPr bwMode="auto">
        <a:xfrm>
          <a:off x="95250" y="23907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4375809-4BFA-0174-A2C1-B9CD1B0C777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526AA42-C64F-55E2-60B9-146690A13231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34CE830-F68B-974B-C446-599408B9EF41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3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F032EA2-DA83-2EEB-CE97-B92874EFB8EB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614673F-10DC-B42F-B58C-1D77BAA1289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CE9202F-D166-FD14-90C7-48017B8F833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ADF5CC9-676F-3229-C4AD-2135E98ABA8B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B6322A5-1367-C2DB-30B9-8BA98248DDD7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2900152-D9E0-D273-C0AE-2976740F87D1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9E70490-77BA-33E3-8F4C-3A9E884CD66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7332645-E620-BE9E-D871-49338BCFA085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636E119-5E00-076E-4B5E-7028365C6910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E306A26-DAC6-8580-8503-6E1A23F659D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EAF6E85-8156-204D-C5E0-230C29FC79AA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46CF981-A3FD-3266-9567-8EFDF25A26FD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C1A0EF3-7274-D597-F82E-AB0B250D164F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B80FE19-1332-B3EB-8128-5D33E126C22D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6D2B496-EA2B-0704-39B6-C070FA9157AA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1DFB5D9-53C0-FF77-71A8-187EC1767154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76DBFF-258A-18DD-D044-3BEED6E050D2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3733AAB-D55C-AC23-691F-D9394CBAD880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198F76E-F838-A2F7-94C1-39965FA149A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C5F0E66-EFD8-0120-701E-BFD293CC81EA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A737F22-E4DF-B7F0-BE66-804266EB6679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42E7F3F-8460-58E3-444B-6C0812949979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BC32F09-D01D-2A1B-8D98-80C9540B81F5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E24D43A-27C3-FA40-959B-8BBD911E285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E9EC8F2-C417-5F2F-5D03-753E1B43186F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E1CD89-6DD9-31DD-9E82-FCECA5C42541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E914EBE-E8EC-5386-6EB2-725042AE504F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F6E2E57-DDAF-3CD0-C88F-7DACB6C52A8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C643AD6-E9A0-9AE8-8208-A37F8E99A229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FF8AF9E-62AA-E2F1-8222-5BE0933C398E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64ED4A6-7ADD-FD23-DA2C-47D8ECC84DC5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379EE01-E263-3313-6480-E6EB32DFDD44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00A29C3-2DC0-9A19-157C-2C983290D45E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2F6B503-574E-CBC1-29DC-F9B6970A8C7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9A69391-E43D-0630-D102-E4BF2DCD5ECF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D0D8B33-0657-9DBF-D063-661AAF4343DF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E1370B9-4DC7-F269-490B-B43B94F8E039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20F7081-709A-EB18-B33B-4B32B2FE25D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08A3F0F-9A20-21BB-B081-2539FE4E180C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CA21B3E-A1CE-574D-BDB3-ED7263D4F27D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5EECB23-BA27-F1B4-8BFE-59847CB44AAB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B2B645E-FB86-9C64-4536-62099F2EE453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09FF6F-DA60-D665-65B7-543CD652EF41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304800</xdr:colOff>
      <xdr:row>366</xdr:row>
      <xdr:rowOff>9525</xdr:rowOff>
    </xdr:to>
    <xdr:sp macro="" textlink="">
      <xdr:nvSpPr>
        <xdr:cNvPr id="6993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898E37C-5039-E4C8-12A3-37607D7FBE69}"/>
            </a:ext>
          </a:extLst>
        </xdr:cNvPr>
        <xdr:cNvSpPr>
          <a:spLocks noChangeAspect="1" noChangeArrowheads="1"/>
        </xdr:cNvSpPr>
      </xdr:nvSpPr>
      <xdr:spPr bwMode="auto">
        <a:xfrm>
          <a:off x="95250" y="60826650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295275</xdr:colOff>
      <xdr:row>406</xdr:row>
      <xdr:rowOff>123825</xdr:rowOff>
    </xdr:to>
    <xdr:sp macro="" textlink="">
      <xdr:nvSpPr>
        <xdr:cNvPr id="699383" name="AutoShape 3072" descr="2-handle basin mixer 240 for wash bowls with waste set">
          <a:extLst>
            <a:ext uri="{FF2B5EF4-FFF2-40B4-BE49-F238E27FC236}">
              <a16:creationId xmlns:a16="http://schemas.microsoft.com/office/drawing/2014/main" id="{CA18DE68-CDD7-95B7-8610-E6ECC7811C01}"/>
            </a:ext>
          </a:extLst>
        </xdr:cNvPr>
        <xdr:cNvSpPr>
          <a:spLocks noChangeAspect="1" noChangeArrowheads="1"/>
        </xdr:cNvSpPr>
      </xdr:nvSpPr>
      <xdr:spPr bwMode="auto">
        <a:xfrm>
          <a:off x="95250" y="6746557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295275</xdr:colOff>
      <xdr:row>431</xdr:row>
      <xdr:rowOff>123825</xdr:rowOff>
    </xdr:to>
    <xdr:sp macro="" textlink="">
      <xdr:nvSpPr>
        <xdr:cNvPr id="699384" name="AutoShape 4096" descr="https://www.vivaeshop.sk/vendors/phpThumb/phpThumb.php?w=5000&amp;h=5000&amp;sia=kw683.jpg&amp;sx=0&amp;sy=0&amp;sw=1024&amp;sh=1024&amp;src=/uploads/5/products/16327/kw683.jpg">
          <a:extLst>
            <a:ext uri="{FF2B5EF4-FFF2-40B4-BE49-F238E27FC236}">
              <a16:creationId xmlns:a16="http://schemas.microsoft.com/office/drawing/2014/main" id="{D11B2DD2-970A-842A-B2B8-F4401C72AE61}"/>
            </a:ext>
          </a:extLst>
        </xdr:cNvPr>
        <xdr:cNvSpPr>
          <a:spLocks noChangeAspect="1" noChangeArrowheads="1"/>
        </xdr:cNvSpPr>
      </xdr:nvSpPr>
      <xdr:spPr bwMode="auto">
        <a:xfrm>
          <a:off x="95250" y="71513700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8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1482AB4-7756-A3AE-E5F8-9969DAD5F81B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8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CCFADA9-DDB6-E54F-A527-5488DA49862A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8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73B72AC-D08F-4B13-B31E-A24F6ADC21C6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8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11C4847-9BC5-91E1-280C-516584136E8D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8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CA5212D-A82F-7391-D410-F4892004A344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948A774-DF88-8268-7BD3-08CDB99CBC1E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DBFFE1-6F59-70D2-2661-536402D11AE0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8334D5A-8EC7-F53C-4E86-A99D0482554C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17A682-BCA5-D17D-605B-9615F7C1867C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C861B97-E5C8-C70A-143B-CED1B1E5FB10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47DF18D-CC9A-3691-F531-F345DFC8503E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6237336-A7E9-880B-94AC-D7198488BF2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2BA1B69-9E44-9A9F-4852-98AE05CDC9E6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C7F58B6-EE48-71F1-1AD8-EE97F43B3D9B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39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4C9CA2-7E00-AB5F-59A4-D4101FA9F3B6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BD5757F-1982-3CDC-21C6-F905D65895C3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C854805-80FE-2357-38FA-4A21D5514914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6B4B669-FF46-DE6E-B745-5CDBCAC32B67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F8DC46B-01C9-E58A-B592-468418A5073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66D9AF4-4CBA-A27D-0A16-B4EC9212C4B0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4320327-8342-599F-ABB3-C8F0B9B008F7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46FE197-AE09-5903-9A77-6A6AE3A68FF3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42D803-97C7-B4E8-5B41-AC35C3D1AB94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70D539-81F6-349C-CC45-B03B8CF2903B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0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509A32-72D1-6E1A-B857-D90D69D95A64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EADADBA-2763-D8FF-702C-133C257B233E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3E9EF43-DEC2-DCAC-96F2-AFF0F1F2DCFC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6F031D4-71FD-2F93-CF60-5594FE0E56B9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1BABD5-385F-77FB-4A3B-155E9DACE02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B94B292-47F0-8C8C-56CD-19FEFC3F0561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A77EC22-6A93-7B81-DBD3-058AF7E23FDE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23E0A84-ACB6-7EB3-B1AD-D053D170ED6F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0F67849-8657-3489-89E5-21479F83E3E1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FEA7437-AB8E-6E07-B01C-F07FF81F8924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1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E81C59F-7CED-A9C3-87D8-F4BBBF3E333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5309937-6C07-D2B0-8EBF-4058137975C9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049EE17-4964-84D2-FDAD-DC6F16497626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E41A44F-BACD-EE9E-92E0-25E2BDFAB22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22FA4E1-1DB3-2FC5-C47A-01519354C08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C71D232-277C-481B-0723-90D24C1C30DB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6069BB6-D044-786F-6483-EF8FB6487ABA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7F03A9C-ABC6-AA8F-97FC-FB8FFF108029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41B584-CD77-7AD5-BA24-2DB5DA4C982D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FDCA8F0-5EC2-A233-6160-6FDAEF09D64E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2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2E1229E-2A3B-54AC-C4E5-6D1DF440BE9D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F5F3C1F-4D95-1765-8FF8-117EF9467022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01B8189-974B-CF07-EA5C-A57636126769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304800</xdr:colOff>
      <xdr:row>453</xdr:row>
      <xdr:rowOff>142875</xdr:rowOff>
    </xdr:to>
    <xdr:sp macro="" textlink="">
      <xdr:nvSpPr>
        <xdr:cNvPr id="6994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5667BB4-E0EC-BF52-09CA-6B27E570A546}"/>
            </a:ext>
          </a:extLst>
        </xdr:cNvPr>
        <xdr:cNvSpPr>
          <a:spLocks noChangeAspect="1" noChangeArrowheads="1"/>
        </xdr:cNvSpPr>
      </xdr:nvSpPr>
      <xdr:spPr bwMode="auto">
        <a:xfrm>
          <a:off x="95250" y="75076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295275</xdr:colOff>
      <xdr:row>455</xdr:row>
      <xdr:rowOff>123825</xdr:rowOff>
    </xdr:to>
    <xdr:sp macro="" textlink="">
      <xdr:nvSpPr>
        <xdr:cNvPr id="699433" name="AutoShape 7168" descr="calatorao">
          <a:extLst>
            <a:ext uri="{FF2B5EF4-FFF2-40B4-BE49-F238E27FC236}">
              <a16:creationId xmlns:a16="http://schemas.microsoft.com/office/drawing/2014/main" id="{CDE6D37E-1A1D-81FE-E426-0CC33C804AEB}"/>
            </a:ext>
          </a:extLst>
        </xdr:cNvPr>
        <xdr:cNvSpPr>
          <a:spLocks noChangeAspect="1" noChangeArrowheads="1"/>
        </xdr:cNvSpPr>
      </xdr:nvSpPr>
      <xdr:spPr bwMode="auto">
        <a:xfrm>
          <a:off x="95250" y="75399900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DD1ECD0-156D-EF81-5DCE-59EFA42BF36D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ABE9DFC-277A-BAE1-716E-DCE93A625779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BDF71F9-E4B7-C12E-04F9-66C24D9DBC29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B5B13A4-18EA-20BD-55D2-2AB8A28B0B64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77925F7-2CCA-F63B-FD38-11E11D62489F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3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2D620AE-94A5-3524-BE6A-F1AFBCF3B8EB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86E2056-FEC4-4BFF-CE48-56E050A6224B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DA01AB0-7F1C-1088-8E2F-9270685E410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75021FE-AA19-D4F6-D88D-96D349A3FAC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16C82B0-6CB4-BF61-F445-A2FBCC10096E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F311665-3C0A-F80A-E4F1-6AD3BCEB9BCA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F4221B6-E925-0580-74F4-C5686EC2A429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5C7F43D-9206-6995-E201-98BF0CB78804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B0ADBA6-F728-C6C5-120E-939B5743D484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EC52686-CCA1-977C-CEF3-5DEB2C325E24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4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4C898B7-55C2-3890-8CC1-E30927F17752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922D990-0C68-71AE-FCE9-7961CDA4636E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26E9E16-2C20-4186-CDFB-4E9007E9022B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C001A55-F48A-1AD2-579B-AC27BA865EFD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2489420-7AC8-E1A4-1BB0-8339BCA2899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C5D629A-E830-9199-D50B-4B674F8A1FC5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56988FE-E423-82BA-918E-35F27468609A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C8BC935-B77A-F521-4636-9231CE1DA76F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23AD5D7-8917-7949-FA70-E1018A85B115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B11E722-D933-3F21-1FA2-C4DBF6D02D28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5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1A9770B-12EE-07B1-E345-D91213EF2D1D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2CA37D0-CC9C-74C1-883E-89680F8B1CAB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4ECCA10-7AD8-2A92-E435-44226300B52F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11ACA69-A330-88CD-E646-939449C70F4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77758D8-1A46-8B69-6AC1-BE531019D71A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0231CEE-C568-01D5-DDD2-7F5BDDF6D900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4BB4D30-31C1-E67D-A3C6-4152025F438D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7843D6A-9F75-4FA4-0996-EA6B77BA332E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F6CD01-A426-DDC9-7B5D-D619780822B5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4CD4203-C1EF-729C-3D01-F7DE555B172E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6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0562C10-9838-12ED-DB80-B7FB9B549CE6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D9FF0AA-DB8F-9F97-2007-7144B45BCB0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AACD1D5-10F2-7823-10BA-0EEC40C8F3C7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3E8EE2-DB51-43F1-858E-09CCEB156EBE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5B92B31-D9C4-6073-4490-08986F890855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1111BF6-C904-8263-6012-B531BD120C28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2A85060-38E1-051F-2B99-6DC8D453FC70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75322DD-F73A-10B7-4FE3-7D0600A257B7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0112357-C76F-7D00-1DAD-EDC0DB5A7FEB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ED8574F-DE90-45D8-E86F-E28DB132381C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4B5AF4C-7DA6-CDD7-55FE-AB950E742647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7F1D9C-72F2-B697-8A6B-0B67FA6C756F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304800</xdr:colOff>
      <xdr:row>490</xdr:row>
      <xdr:rowOff>142875</xdr:rowOff>
    </xdr:to>
    <xdr:sp macro="" textlink="">
      <xdr:nvSpPr>
        <xdr:cNvPr id="6994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E630B51-B12E-7A05-7C8C-71658D83DD33}"/>
            </a:ext>
          </a:extLst>
        </xdr:cNvPr>
        <xdr:cNvSpPr>
          <a:spLocks noChangeAspect="1" noChangeArrowheads="1"/>
        </xdr:cNvSpPr>
      </xdr:nvSpPr>
      <xdr:spPr bwMode="auto">
        <a:xfrm>
          <a:off x="95250" y="81067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13A32D1-5697-D413-48A5-B1986CE0D1E1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504AB5-FA1B-36D6-F5D6-86ABCB3BA605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07E8962-736B-10EC-DCF4-016F7AC7B687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CF3456-8924-1FB4-5681-3A155E7A762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EBFC26E-22BD-0CAA-4DBB-E079813F4A07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2FC72BFF-FC36-FF2F-E207-32E3493C29C8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5FE8F52-2C6B-D359-7907-2EF6A6B01AE0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F4121FF-2EE3-14A0-65D6-EB2518A8C383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DB55CB5-E9EC-0B0C-FCE5-103E2ACFEE5C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28FF31F-04AA-1534-99F4-952E13F649FE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7E039BC4-7960-C5BB-B569-2B955F55CDD4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605985C-0A90-E2FA-3DA6-FC39DF05ECFD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9A2AE2A-3FA7-9E48-6E34-7E7C4C16656B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E892550-1632-BBCA-D968-6E4786304138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9D24FB1-B5B5-D97F-B40E-0B5C967B4E72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3EC07B1-CB22-AB80-556C-93DD7EA73449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BBEB449-FF70-0038-2B6E-C227A11318BB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4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F4BF04E-94A1-26E4-1800-E03C55638F7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BC6AEDD-8AE0-6E83-22EB-899B585E535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30B9C77-17EA-C266-F639-AE9D095B7261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82A6399-16AC-60CA-4749-8BCD6DA02D40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5CEF253-B7E7-04E5-B8C7-1BC395C6C0D1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94DDF74-BA44-4C26-8F16-310E05E338E7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9EAAF5A-8698-36CA-EC4B-A6C64E10E6D3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96A0A9D-03F9-2844-889C-26024C9233C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4CD9F32-B8F9-E016-8316-9B2C87CE4ABC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FC73A96-39D7-E075-F2A1-C810C9E1BA53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998D30F-57D3-D56A-6028-F18EF2B19F4D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27DE716-3A6F-99ED-215F-FE2E2071E1A9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D4DF3EC-F245-7A8D-8FF2-96D219D2FD2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CC116BF-5804-348A-855B-D405CFB9F51D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B274D6A-C2A6-576E-6B7B-16BED5233B80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74E3441-7FD9-EE40-C4ED-9F739A44D718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1AE9DA2-7107-E9D1-6776-EC421FA27CAB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CC6ADD7-3145-74A6-E574-48C8192C1DE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F8CA610-776F-01C7-1C38-D395145BD324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9E78357-2D57-C549-43B9-9C580C92D995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F2992D8-B9A4-66BC-958D-6E8B6F3D8D78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E4C8A7-171F-8B02-9F09-C2C2638302B7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A9391F-34FE-BF8A-3071-29BA7762456C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1520BDB-9153-A5AD-B05A-69BB279BD557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890F2BA-7D81-71CB-E645-C2DBC1B5C330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9D53B62-33B9-74C4-81BF-4AF1A8AD7206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643D93D-9A8F-A36A-63FC-9D4131D10690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BD88667-122C-0942-F110-63DAD94C5BD3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9DDECC0-2476-1507-FBE1-1A55205B6D29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DD8BCCE-37B4-B586-139C-3838995685AF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304800</xdr:colOff>
      <xdr:row>484</xdr:row>
      <xdr:rowOff>142875</xdr:rowOff>
    </xdr:to>
    <xdr:sp macro="" textlink="">
      <xdr:nvSpPr>
        <xdr:cNvPr id="69952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32D189A-17BC-8ADB-FCDE-C29DB3326A12}"/>
            </a:ext>
          </a:extLst>
        </xdr:cNvPr>
        <xdr:cNvSpPr>
          <a:spLocks noChangeAspect="1" noChangeArrowheads="1"/>
        </xdr:cNvSpPr>
      </xdr:nvSpPr>
      <xdr:spPr bwMode="auto">
        <a:xfrm>
          <a:off x="95250" y="80095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2842D55-822D-096B-6566-1A932EA0428E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779A2A4-28F3-5BF3-A609-422D4A3769C1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F333F6D2-717D-B06C-3F8F-3A6543C1D8B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60686F7-482D-B273-C446-66BF1C0ED730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FFF8390-9C95-3193-64A3-DD9059A7F92A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7313ABC-7FE7-BA74-8054-703A1A1EA435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3727A4A-41F6-BA54-7B48-F1B7E50CB57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4C34DAF-F5E9-92D6-A7C0-B150B7DF28B7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23C891E-E278-9D60-0ED2-299F22238336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3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2822FD0-DC7A-66C0-89C9-E36AB52935D4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A981220-CB48-576B-9CA3-1DF7C3A0B1B4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EBCCAF-7F71-591D-5CAF-9D4D0F333EA6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09B84CD-B3F2-D6EF-7E9A-B83E8A15EF55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1896B75-F36D-883A-39EE-C6E87D3C3083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2A89020-C1D7-7B8A-8F82-2D0E85326265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1F5FBFF-BA85-8C7D-74C2-482A894DA9A0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1892212-154E-D3BF-A833-1D5987A81902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E298841-CA12-8B05-4961-C5F35D16E483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971252D-DC77-445A-A0E1-2991F56563D9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4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3FB6B48-F93D-62A3-1DAC-6868F8BE73F4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B62A90B-BC3E-A2F6-E72E-99DA0BB9F999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F7BBD65-5EF2-17B4-EBDB-1E8AFACC45E1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7ED9D9D-A0BD-F82E-2397-25575E92E199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9733296-D672-BE2F-E400-4DFC8142A96A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2F4B2A1-4E79-24AA-DECC-7D1820361956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8741982-BB33-0B64-E88D-EA0938EB352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15FD5D0D-DE03-6679-E299-7C066BB6DDD8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26CE16-A671-AA38-04F1-8926A7D72E2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299B711-A2CD-E3BB-C767-31F68B22DD88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5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8932E06-F37D-CC9A-7C6B-016DD8AD6A31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F0DFA42-7C86-2CF2-0617-29F94F2A708B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A22DEB72-B7D9-B6D9-D409-9BD9F29783CB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553547E-EA59-2974-5FA3-6C0C62EE4CEC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A9F2F4D-0223-CDDF-7210-1F22D0BB7C8E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66BD073-D952-9D6E-276B-34424F7C174A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BF46CB1-8B53-8CDE-88B0-696007195178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F91D51C-D17E-240A-9C7D-EAF82D84D317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7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CD39A1B9-B299-147E-F1E6-1EDB2B8CEB5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8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2502CFF-0F2F-D4DA-3D3D-0E93C215B2A1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69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61F7353E-C491-F145-D338-FA98493644E5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0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F075632-3D8F-3B09-9E01-D1D2620FB147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1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7CF0F11-55AE-F989-3D30-833A00CE3C5C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2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F7A4210-678D-86D5-DB99-7970710191F8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3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8B24CA9F-6C7A-5C93-2879-CCB91E7D922C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4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6B0C6DB8-359E-B765-8DD9-EEDEC2F4A355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5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DAC78CF-F787-BA7D-3D4D-4E7623860A0D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304800</xdr:colOff>
      <xdr:row>472</xdr:row>
      <xdr:rowOff>142875</xdr:rowOff>
    </xdr:to>
    <xdr:sp macro="" textlink="">
      <xdr:nvSpPr>
        <xdr:cNvPr id="699576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885E2BB-1557-605A-EE8D-97E9A00C36C4}"/>
            </a:ext>
          </a:extLst>
        </xdr:cNvPr>
        <xdr:cNvSpPr>
          <a:spLocks noChangeAspect="1" noChangeArrowheads="1"/>
        </xdr:cNvSpPr>
      </xdr:nvSpPr>
      <xdr:spPr bwMode="auto">
        <a:xfrm>
          <a:off x="95250" y="78152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9525</xdr:colOff>
      <xdr:row>56</xdr:row>
      <xdr:rowOff>9525</xdr:rowOff>
    </xdr:to>
    <xdr:pic>
      <xdr:nvPicPr>
        <xdr:cNvPr id="699577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C42B95E6-D41C-CF12-449C-9BD17FEB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08775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7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2EAE9A4-186A-8788-1B0A-E666E5C5A377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7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9940FF4-19C0-1FD2-2C15-51F22D00D413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E973F9D2-BF26-9827-ABA0-36A32AF2704F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585F27A-AC90-5094-39B4-A1B8CDA9012C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2435276-CD97-2781-35EE-757F1C7CC3F2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01B6D64-99CC-0573-8493-FC360A2B11A1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12D0115-E589-9BEF-2814-AC3E62F26805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2E8F79C-2FFD-65B5-3B09-66F54BB922C3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093B4EE-6CC8-82BB-F102-9AD287967752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C53A301F-1279-3275-1127-7A35F18BFE1D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C23B0F1-3651-C60D-F8B4-27E62F23A870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8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78F69EF-0BE5-D428-7F5B-A2776CAC98C0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1AC9B24-13B2-748D-0B4E-C25173F4AAF1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B3A8723-7B3D-80C8-E687-EBDCD5044200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9A404CF-A53F-F0DD-7E74-97C37525D0B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2E2A7EA-8BC8-A6FB-04EC-1D39E1536700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73AE44F-661B-3CA1-DB62-3339B484B97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0AEF2396-7B71-EC20-F750-9F69F9F5C48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0538191C-8B58-4AFA-3370-AF684800B042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AAA29F0-0076-822F-C679-3342730A6FAD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20ABE07-3604-B69D-1B12-12534F41E95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59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176CCD7-BCC0-C903-151D-99F435887981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A5EDAD8-A5D7-E4A2-4854-7D83C419A453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5F6D359A-2FA5-4577-BEF8-5B974BB070B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580B4697-553C-DA5E-3140-74DCA7311213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ECD9286-3B2A-FF3C-09B7-EE1AD621D9DC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091EAB2-0D88-8434-43F4-8D788B44D0A1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9629E1D-00B7-05B6-398F-CE49B4A286A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260BE5-2697-1F99-469A-140904B067B8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B258668E-D44F-A2F3-0965-8D3BFA9988E6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DA3B33C2-D611-93FD-C3E3-F974CD2AF354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0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4097F238-7BD4-72E3-25D5-CD0338008C04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F2B05CA8-8054-370D-BB02-90BACE83AB3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8E27194-6F39-92F6-31AC-9FFBAFFD480F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1EE9BCA2-057A-7C86-38E2-B1E43D675ECD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D0C00CF7-B968-38F6-E3EC-DCC1F1BDE9F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B27E476A-63F6-3218-CEB6-0EFD2359BFCF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919813A3-174C-1586-1781-2E4B0CB20D3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6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259BD40F-FBB1-ECB1-3FC6-4765CB4FBBCD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7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8A09D6B4-AAF5-7D2B-9F0D-EF710EB44657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8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9EE75B1F-B155-AAAE-56C3-537139472714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19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E9E513F6-984F-9B5C-FF0A-CBB7446E37F9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0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56D000F-6804-D1C4-2CE0-0A99F339C571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1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31E12324-B17C-5A30-4ACD-F483CB62D4D3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2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3C5C74CA-5DAC-400E-047F-9CBA4AF0CE6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3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A8675948-9097-7666-1A1B-37F84DC77F6C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4" name="AutoShape 1418" descr="Emco Loft - Držiak náhradného toaletného papiera, čierna 050513300">
          <a:extLst>
            <a:ext uri="{FF2B5EF4-FFF2-40B4-BE49-F238E27FC236}">
              <a16:creationId xmlns:a16="http://schemas.microsoft.com/office/drawing/2014/main" id="{450EF9E6-1AF2-9C1F-2CCC-C75AC81B1EFB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82</xdr:row>
      <xdr:rowOff>133350</xdr:rowOff>
    </xdr:to>
    <xdr:sp macro="" textlink="">
      <xdr:nvSpPr>
        <xdr:cNvPr id="699625" name="AutoShape 1419" descr="Emco Loft - Držiak náhradného toaletného papiera, čierna 050513300">
          <a:extLst>
            <a:ext uri="{FF2B5EF4-FFF2-40B4-BE49-F238E27FC236}">
              <a16:creationId xmlns:a16="http://schemas.microsoft.com/office/drawing/2014/main" id="{7FD5F3E6-18F5-DD83-2B13-8CE59E8E7306}"/>
            </a:ext>
          </a:extLst>
        </xdr:cNvPr>
        <xdr:cNvSpPr>
          <a:spLocks noChangeAspect="1" noChangeArrowheads="1"/>
        </xdr:cNvSpPr>
      </xdr:nvSpPr>
      <xdr:spPr bwMode="auto">
        <a:xfrm>
          <a:off x="95250" y="1483995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66675</xdr:rowOff>
    </xdr:to>
    <xdr:sp macro="" textlink="">
      <xdr:nvSpPr>
        <xdr:cNvPr id="699626" name="AutoShape 2049">
          <a:extLst>
            <a:ext uri="{FF2B5EF4-FFF2-40B4-BE49-F238E27FC236}">
              <a16:creationId xmlns:a16="http://schemas.microsoft.com/office/drawing/2014/main" id="{1F2EBCCD-0C1C-AADA-CE08-68A04048254E}"/>
            </a:ext>
          </a:extLst>
        </xdr:cNvPr>
        <xdr:cNvSpPr>
          <a:spLocks noChangeAspect="1" noChangeArrowheads="1"/>
        </xdr:cNvSpPr>
      </xdr:nvSpPr>
      <xdr:spPr bwMode="auto">
        <a:xfrm>
          <a:off x="95250" y="10877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9525</xdr:colOff>
      <xdr:row>74</xdr:row>
      <xdr:rowOff>9525</xdr:rowOff>
    </xdr:to>
    <xdr:pic>
      <xdr:nvPicPr>
        <xdr:cNvPr id="699627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4978C8FB-853E-27A1-AFC7-29E61CF78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3868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</xdr:colOff>
      <xdr:row>62</xdr:row>
      <xdr:rowOff>9525</xdr:rowOff>
    </xdr:to>
    <xdr:pic>
      <xdr:nvPicPr>
        <xdr:cNvPr id="699628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150E1962-9BD6-23CC-1AD8-35F2DC44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</xdr:colOff>
      <xdr:row>68</xdr:row>
      <xdr:rowOff>9525</xdr:rowOff>
    </xdr:to>
    <xdr:pic>
      <xdr:nvPicPr>
        <xdr:cNvPr id="699629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79F11DF0-6FDC-B6DA-E0AF-EC3C8B1DF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2896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</xdr:colOff>
      <xdr:row>68</xdr:row>
      <xdr:rowOff>9525</xdr:rowOff>
    </xdr:to>
    <xdr:pic>
      <xdr:nvPicPr>
        <xdr:cNvPr id="699630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D6E7F1E1-7A00-2F00-BF32-A613ACE1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2896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</xdr:colOff>
      <xdr:row>62</xdr:row>
      <xdr:rowOff>9525</xdr:rowOff>
    </xdr:to>
    <xdr:pic>
      <xdr:nvPicPr>
        <xdr:cNvPr id="699631" name="Obrázok 963" descr="iQ700 Zabudovateľná rúra na pečenie 60 x 60 cm čierna HB836GVB6 HB836GVB6-1">
          <a:extLst>
            <a:ext uri="{FF2B5EF4-FFF2-40B4-BE49-F238E27FC236}">
              <a16:creationId xmlns:a16="http://schemas.microsoft.com/office/drawing/2014/main" id="{61D74265-EE24-3EC7-C102-45B42C989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46</xdr:row>
      <xdr:rowOff>133350</xdr:rowOff>
    </xdr:from>
    <xdr:to>
      <xdr:col>1</xdr:col>
      <xdr:colOff>1095375</xdr:colOff>
      <xdr:row>51</xdr:row>
      <xdr:rowOff>95250</xdr:rowOff>
    </xdr:to>
    <xdr:pic>
      <xdr:nvPicPr>
        <xdr:cNvPr id="699632" name="Obrázok 14">
          <a:extLst>
            <a:ext uri="{FF2B5EF4-FFF2-40B4-BE49-F238E27FC236}">
              <a16:creationId xmlns:a16="http://schemas.microsoft.com/office/drawing/2014/main" id="{8DBAEA68-1F2F-429A-A6F9-8B9D82AA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391650"/>
          <a:ext cx="838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5</xdr:row>
      <xdr:rowOff>123825</xdr:rowOff>
    </xdr:from>
    <xdr:to>
      <xdr:col>1</xdr:col>
      <xdr:colOff>990600</xdr:colOff>
      <xdr:row>10</xdr:row>
      <xdr:rowOff>114300</xdr:rowOff>
    </xdr:to>
    <xdr:pic>
      <xdr:nvPicPr>
        <xdr:cNvPr id="699633" name="Obrázok 1">
          <a:extLst>
            <a:ext uri="{FF2B5EF4-FFF2-40B4-BE49-F238E27FC236}">
              <a16:creationId xmlns:a16="http://schemas.microsoft.com/office/drawing/2014/main" id="{6B92484A-EC4B-C0FD-CC55-44D4AD6D0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74320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11</xdr:row>
      <xdr:rowOff>76200</xdr:rowOff>
    </xdr:from>
    <xdr:to>
      <xdr:col>1</xdr:col>
      <xdr:colOff>895350</xdr:colOff>
      <xdr:row>16</xdr:row>
      <xdr:rowOff>133350</xdr:rowOff>
    </xdr:to>
    <xdr:pic>
      <xdr:nvPicPr>
        <xdr:cNvPr id="699634" name="Obrázok 2">
          <a:extLst>
            <a:ext uri="{FF2B5EF4-FFF2-40B4-BE49-F238E27FC236}">
              <a16:creationId xmlns:a16="http://schemas.microsoft.com/office/drawing/2014/main" id="{B678FC9B-9927-80A8-6764-E1783348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667125"/>
          <a:ext cx="5905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18</xdr:row>
      <xdr:rowOff>104775</xdr:rowOff>
    </xdr:from>
    <xdr:to>
      <xdr:col>1</xdr:col>
      <xdr:colOff>1019175</xdr:colOff>
      <xdr:row>21</xdr:row>
      <xdr:rowOff>123825</xdr:rowOff>
    </xdr:to>
    <xdr:pic>
      <xdr:nvPicPr>
        <xdr:cNvPr id="699635" name="Obrázok 3">
          <a:extLst>
            <a:ext uri="{FF2B5EF4-FFF2-40B4-BE49-F238E27FC236}">
              <a16:creationId xmlns:a16="http://schemas.microsoft.com/office/drawing/2014/main" id="{A31DC56E-40CB-73B6-FF20-4F60641C7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829175"/>
          <a:ext cx="819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35</xdr:row>
      <xdr:rowOff>9525</xdr:rowOff>
    </xdr:from>
    <xdr:to>
      <xdr:col>1</xdr:col>
      <xdr:colOff>895350</xdr:colOff>
      <xdr:row>39</xdr:row>
      <xdr:rowOff>66675</xdr:rowOff>
    </xdr:to>
    <xdr:pic>
      <xdr:nvPicPr>
        <xdr:cNvPr id="699636" name="Obrázok 5">
          <a:extLst>
            <a:ext uri="{FF2B5EF4-FFF2-40B4-BE49-F238E27FC236}">
              <a16:creationId xmlns:a16="http://schemas.microsoft.com/office/drawing/2014/main" id="{D4E4A907-9810-C0CB-45E1-DEA813C1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7486650"/>
          <a:ext cx="7143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41</xdr:row>
      <xdr:rowOff>66675</xdr:rowOff>
    </xdr:from>
    <xdr:to>
      <xdr:col>1</xdr:col>
      <xdr:colOff>933450</xdr:colOff>
      <xdr:row>45</xdr:row>
      <xdr:rowOff>47625</xdr:rowOff>
    </xdr:to>
    <xdr:pic>
      <xdr:nvPicPr>
        <xdr:cNvPr id="699637" name="Obrázok 6">
          <a:extLst>
            <a:ext uri="{FF2B5EF4-FFF2-40B4-BE49-F238E27FC236}">
              <a16:creationId xmlns:a16="http://schemas.microsoft.com/office/drawing/2014/main" id="{0574FB75-6885-824A-A994-2791A0E6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515350"/>
          <a:ext cx="7239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24</xdr:row>
      <xdr:rowOff>9525</xdr:rowOff>
    </xdr:from>
    <xdr:to>
      <xdr:col>1</xdr:col>
      <xdr:colOff>962025</xdr:colOff>
      <xdr:row>27</xdr:row>
      <xdr:rowOff>66675</xdr:rowOff>
    </xdr:to>
    <xdr:pic>
      <xdr:nvPicPr>
        <xdr:cNvPr id="699638" name="Obrázok 2">
          <a:extLst>
            <a:ext uri="{FF2B5EF4-FFF2-40B4-BE49-F238E27FC236}">
              <a16:creationId xmlns:a16="http://schemas.microsoft.com/office/drawing/2014/main" id="{74BAF05C-86F1-F884-6B34-5112862EE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705475"/>
          <a:ext cx="6572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28</xdr:row>
      <xdr:rowOff>104775</xdr:rowOff>
    </xdr:from>
    <xdr:to>
      <xdr:col>1</xdr:col>
      <xdr:colOff>952500</xdr:colOff>
      <xdr:row>33</xdr:row>
      <xdr:rowOff>76200</xdr:rowOff>
    </xdr:to>
    <xdr:pic>
      <xdr:nvPicPr>
        <xdr:cNvPr id="699639" name="Obrázok 3">
          <a:extLst>
            <a:ext uri="{FF2B5EF4-FFF2-40B4-BE49-F238E27FC236}">
              <a16:creationId xmlns:a16="http://schemas.microsoft.com/office/drawing/2014/main" id="{B9328EB2-1160-FD0C-96F6-CF5D0866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6448425"/>
          <a:ext cx="6191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kea.com/sk/sk/p/ekenaeset-kreslo-kilanda-svetlobezova-90533174/" TargetMode="External"/><Relationship Id="rId3" Type="http://schemas.openxmlformats.org/officeDocument/2006/relationships/hyperlink" Target="https://jysk.sk/chodba/nabytok-do-predsiene/lavice-do-chodby/lavica-bislev-tmavy-pieskovy-potah" TargetMode="External"/><Relationship Id="rId7" Type="http://schemas.openxmlformats.org/officeDocument/2006/relationships/hyperlink" Target="https://www.ikea.com/sk/sk/p/skogsbo-stolicka-tmavohneda-50529942/" TargetMode="External"/><Relationship Id="rId2" Type="http://schemas.openxmlformats.org/officeDocument/2006/relationships/hyperlink" Target="https://www.jutex.sk/luxusne-kusove-koberce/11090-vlneny-kusovy-koberec-isfahan-klimene-tmavomodry.html" TargetMode="External"/><Relationship Id="rId1" Type="http://schemas.openxmlformats.org/officeDocument/2006/relationships/hyperlink" Target="https://www.dekolamp.sk/italux-pnd-55342-4-hb-zavesne-stropne-svietidlo-evora-g9.html?feci=ZWUyM2EyYWUtYzJlMy00YjMxLWE2MGItOWZmM2MyZTliZDdi_MQ%3D%3D&amp;utm_source=favi.sk&amp;utm_medium=cpc&amp;utm_campaign=favi-zavesne-svietidla&amp;utm_term=ee23a2ae-c2e3-4b31-a60b-9ff3c2e9bd7b&amp;utm_content=ee23a2ae-c2e3-4b31-a60b-9ff3c2e9bd7b" TargetMode="External"/><Relationship Id="rId6" Type="http://schemas.openxmlformats.org/officeDocument/2006/relationships/hyperlink" Target="https://www.moebelix.sk/p/konzolovy-stolik-gold-002543007119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ikea.com/sk/sk/p/lommaryd-zrkadlo-20454311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iego.sk/zaclony/hotove-zaclony/voile-hotova-zaclona-s-riasiacou-paskou-3-1-biela?_gl=1*rwz7rc*_up*MQ..*_gs*MQ..&amp;gclid=Cj0KCQiAy8K8BhCZARIsAKJ8sfTaoxFCrmL1GFzIEqCksF-0EiSTVjeYimEe0Uvutb1Gn2x-bCR7mhcaAmoMEALw_wcB" TargetMode="External"/><Relationship Id="rId9" Type="http://schemas.openxmlformats.org/officeDocument/2006/relationships/hyperlink" Target="https://formadore.sk/blomus-haciky-na-stenu-rof-podlhovaste-mosadzne-2-ks,211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B7D9-1120-4291-8A55-29A1D025A4C6}">
  <dimension ref="A1:BB1051"/>
  <sheetViews>
    <sheetView tabSelected="1" zoomScale="118" zoomScaleNormal="118" workbookViewId="0">
      <selection activeCell="L10" sqref="L10"/>
    </sheetView>
  </sheetViews>
  <sheetFormatPr defaultRowHeight="12.75" x14ac:dyDescent="0.2"/>
  <cols>
    <col min="1" max="1" width="1.42578125" style="2" customWidth="1"/>
    <col min="2" max="2" width="17.28515625" style="1" customWidth="1"/>
    <col min="3" max="3" width="20.7109375" style="7" customWidth="1"/>
    <col min="4" max="4" width="16.28515625" style="2" customWidth="1"/>
    <col min="5" max="5" width="14.42578125" style="2" customWidth="1"/>
    <col min="6" max="6" width="10.42578125" style="2" customWidth="1"/>
    <col min="7" max="7" width="7.140625" style="8" customWidth="1"/>
    <col min="8" max="8" width="13.42578125" style="6" customWidth="1"/>
    <col min="9" max="9" width="9.140625" style="1"/>
    <col min="10" max="54" width="9.140625" style="2"/>
    <col min="55" max="16384" width="9.140625" style="1"/>
  </cols>
  <sheetData>
    <row r="1" spans="2:16" ht="141.6" customHeight="1" x14ac:dyDescent="0.2">
      <c r="B1" s="94" t="s">
        <v>19</v>
      </c>
      <c r="C1" s="95"/>
      <c r="D1" s="36"/>
      <c r="E1" s="96" t="s">
        <v>25</v>
      </c>
      <c r="F1" s="96"/>
      <c r="G1" s="96"/>
      <c r="H1" s="97"/>
      <c r="J1" s="37"/>
    </row>
    <row r="2" spans="2:16" ht="15.75" x14ac:dyDescent="0.2">
      <c r="B2" s="98" t="s">
        <v>1</v>
      </c>
      <c r="C2" s="99"/>
      <c r="D2" s="100" t="s">
        <v>5</v>
      </c>
      <c r="E2" s="100"/>
      <c r="F2" s="99" t="s">
        <v>6</v>
      </c>
      <c r="G2" s="99"/>
      <c r="H2" s="101"/>
      <c r="P2" s="2" t="s">
        <v>12</v>
      </c>
    </row>
    <row r="3" spans="2:16" x14ac:dyDescent="0.2">
      <c r="B3" s="102" t="s">
        <v>27</v>
      </c>
      <c r="C3" s="103"/>
      <c r="D3" s="104">
        <v>46182</v>
      </c>
      <c r="E3" s="105"/>
      <c r="F3" s="106" t="s">
        <v>26</v>
      </c>
      <c r="G3" s="106"/>
      <c r="H3" s="107"/>
    </row>
    <row r="4" spans="2:16" ht="24" x14ac:dyDescent="0.2">
      <c r="B4" s="33" t="s">
        <v>0</v>
      </c>
      <c r="C4" s="34" t="s">
        <v>2</v>
      </c>
      <c r="D4" s="33" t="s">
        <v>10</v>
      </c>
      <c r="E4" s="33"/>
      <c r="F4" s="33" t="s">
        <v>8</v>
      </c>
      <c r="G4" s="35" t="s">
        <v>9</v>
      </c>
      <c r="H4" s="34" t="s">
        <v>3</v>
      </c>
    </row>
    <row r="5" spans="2:16" x14ac:dyDescent="0.2">
      <c r="B5" s="72" t="s">
        <v>22</v>
      </c>
      <c r="C5" s="30"/>
      <c r="D5" s="30"/>
      <c r="E5" s="30"/>
      <c r="F5" s="30"/>
      <c r="G5" s="31"/>
      <c r="H5" s="32"/>
    </row>
    <row r="6" spans="2:16" x14ac:dyDescent="0.2">
      <c r="B6" s="69" t="s">
        <v>18</v>
      </c>
      <c r="C6" s="9" t="s">
        <v>11</v>
      </c>
      <c r="D6" s="43" t="s">
        <v>29</v>
      </c>
      <c r="E6" s="39" t="s">
        <v>28</v>
      </c>
      <c r="F6" s="42">
        <v>114.4</v>
      </c>
      <c r="G6" s="28">
        <v>2</v>
      </c>
      <c r="H6" s="54">
        <f>F6*G6</f>
        <v>228.8</v>
      </c>
      <c r="I6" s="21"/>
    </row>
    <row r="7" spans="2:16" x14ac:dyDescent="0.2">
      <c r="B7" s="3"/>
      <c r="C7" s="11"/>
      <c r="D7" s="25"/>
      <c r="E7" s="39"/>
      <c r="G7" s="12" t="s">
        <v>4</v>
      </c>
      <c r="H7" s="40"/>
      <c r="I7" s="21"/>
    </row>
    <row r="8" spans="2:16" x14ac:dyDescent="0.2">
      <c r="B8" s="23"/>
      <c r="C8" s="55"/>
      <c r="D8" s="13"/>
      <c r="E8" s="39"/>
      <c r="G8" s="12"/>
      <c r="H8" s="40"/>
      <c r="I8" s="21"/>
    </row>
    <row r="9" spans="2:16" x14ac:dyDescent="0.2">
      <c r="B9" s="23"/>
      <c r="C9" s="55"/>
      <c r="D9" s="13"/>
      <c r="E9" s="63"/>
      <c r="G9" s="12"/>
      <c r="H9" s="40"/>
      <c r="I9" s="21" t="s">
        <v>11</v>
      </c>
    </row>
    <row r="10" spans="2:16" x14ac:dyDescent="0.2">
      <c r="B10" s="3"/>
      <c r="C10" s="56"/>
      <c r="D10" s="13"/>
      <c r="E10" s="63"/>
      <c r="G10" s="12"/>
      <c r="H10" s="40"/>
      <c r="I10" s="21"/>
    </row>
    <row r="11" spans="2:16" x14ac:dyDescent="0.2">
      <c r="B11" s="4"/>
      <c r="C11" s="56"/>
      <c r="D11" s="15"/>
      <c r="E11" s="64"/>
      <c r="F11" s="16"/>
      <c r="G11" s="18"/>
      <c r="H11" s="41"/>
      <c r="I11" s="21"/>
    </row>
    <row r="12" spans="2:16" x14ac:dyDescent="0.2">
      <c r="B12" s="68" t="s">
        <v>13</v>
      </c>
      <c r="C12" s="57" t="s">
        <v>30</v>
      </c>
      <c r="D12" s="52" t="s">
        <v>31</v>
      </c>
      <c r="E12" s="44" t="s">
        <v>32</v>
      </c>
      <c r="F12" s="66">
        <v>385.77</v>
      </c>
      <c r="G12" s="48">
        <v>1</v>
      </c>
      <c r="H12" s="65">
        <f>F12*G12</f>
        <v>385.77</v>
      </c>
      <c r="I12" s="21"/>
    </row>
    <row r="13" spans="2:16" x14ac:dyDescent="0.2">
      <c r="B13" s="3"/>
      <c r="C13" s="58"/>
      <c r="E13" s="51" t="s">
        <v>33</v>
      </c>
      <c r="F13" s="26"/>
      <c r="G13" s="12" t="s">
        <v>4</v>
      </c>
      <c r="H13" s="50"/>
      <c r="I13" s="21" t="s">
        <v>30</v>
      </c>
    </row>
    <row r="14" spans="2:16" x14ac:dyDescent="0.2">
      <c r="B14" s="3"/>
      <c r="C14" s="58"/>
      <c r="D14" s="53"/>
      <c r="E14" s="25"/>
      <c r="F14" s="62"/>
      <c r="G14" s="67"/>
      <c r="H14" s="50"/>
      <c r="I14" s="21"/>
    </row>
    <row r="15" spans="2:16" x14ac:dyDescent="0.2">
      <c r="B15" s="23"/>
      <c r="C15" s="56"/>
      <c r="D15" s="13"/>
      <c r="E15" s="45"/>
      <c r="F15" s="26"/>
      <c r="G15" s="47"/>
      <c r="I15" s="21"/>
    </row>
    <row r="16" spans="2:16" x14ac:dyDescent="0.2">
      <c r="B16" s="3"/>
      <c r="C16" s="56"/>
      <c r="D16" s="13"/>
      <c r="E16" s="63"/>
      <c r="I16" s="21"/>
    </row>
    <row r="17" spans="2:9" x14ac:dyDescent="0.2">
      <c r="B17" s="4"/>
      <c r="C17" s="56"/>
      <c r="D17" s="15"/>
      <c r="E17" s="64"/>
      <c r="F17" s="16"/>
      <c r="G17" s="18"/>
      <c r="H17" s="41"/>
      <c r="I17" s="21"/>
    </row>
    <row r="18" spans="2:9" x14ac:dyDescent="0.2">
      <c r="B18" s="68" t="s">
        <v>14</v>
      </c>
      <c r="C18" s="57" t="s">
        <v>34</v>
      </c>
      <c r="D18" s="52" t="s">
        <v>35</v>
      </c>
      <c r="E18" s="44" t="s">
        <v>36</v>
      </c>
      <c r="F18" s="66">
        <v>80</v>
      </c>
      <c r="G18" s="48">
        <v>1</v>
      </c>
      <c r="H18" s="65">
        <f>F18*G18</f>
        <v>80</v>
      </c>
      <c r="I18" s="21"/>
    </row>
    <row r="19" spans="2:9" x14ac:dyDescent="0.2">
      <c r="B19" s="3"/>
      <c r="C19" s="58"/>
      <c r="E19" s="51" t="s">
        <v>37</v>
      </c>
      <c r="F19" s="26"/>
      <c r="G19" s="46" t="s">
        <v>4</v>
      </c>
      <c r="H19" s="50"/>
      <c r="I19" s="21" t="s">
        <v>34</v>
      </c>
    </row>
    <row r="20" spans="2:9" x14ac:dyDescent="0.2">
      <c r="B20" s="3"/>
      <c r="C20" s="58"/>
      <c r="D20" s="53"/>
      <c r="E20" s="25"/>
      <c r="F20" s="62"/>
      <c r="G20" s="67"/>
      <c r="H20" s="50"/>
      <c r="I20" s="21"/>
    </row>
    <row r="21" spans="2:9" x14ac:dyDescent="0.2">
      <c r="B21" s="23"/>
      <c r="C21" s="56"/>
      <c r="D21" s="13"/>
      <c r="E21" s="45"/>
      <c r="F21" s="26"/>
      <c r="G21" s="47"/>
      <c r="I21" s="21"/>
    </row>
    <row r="22" spans="2:9" x14ac:dyDescent="0.2">
      <c r="B22" s="3"/>
      <c r="C22" s="56"/>
      <c r="D22" s="13"/>
      <c r="E22" s="63"/>
      <c r="I22" s="21"/>
    </row>
    <row r="23" spans="2:9" x14ac:dyDescent="0.2">
      <c r="B23" s="4"/>
      <c r="C23" s="76"/>
      <c r="D23" s="15"/>
      <c r="E23" s="64"/>
      <c r="F23" s="16"/>
      <c r="G23" s="18"/>
      <c r="H23" s="41"/>
      <c r="I23" s="21"/>
    </row>
    <row r="24" spans="2:9" x14ac:dyDescent="0.2">
      <c r="B24" s="3" t="s">
        <v>15</v>
      </c>
      <c r="C24" s="56"/>
      <c r="D24" s="13"/>
      <c r="E24" s="63"/>
      <c r="G24" s="12"/>
      <c r="H24" s="40"/>
      <c r="I24" s="21"/>
    </row>
    <row r="25" spans="2:9" x14ac:dyDescent="0.2">
      <c r="B25" s="3"/>
      <c r="C25" s="56" t="s">
        <v>53</v>
      </c>
      <c r="D25" s="56" t="s">
        <v>55</v>
      </c>
      <c r="E25" s="77" t="s">
        <v>56</v>
      </c>
      <c r="F25" s="78">
        <v>23.2</v>
      </c>
      <c r="G25" s="14">
        <v>2</v>
      </c>
      <c r="H25" s="90">
        <f>F25*G25</f>
        <v>46.4</v>
      </c>
      <c r="I25" s="21" t="s">
        <v>54</v>
      </c>
    </row>
    <row r="26" spans="2:9" x14ac:dyDescent="0.2">
      <c r="B26" s="3"/>
      <c r="C26" s="56"/>
      <c r="D26" s="13"/>
      <c r="E26" s="56" t="s">
        <v>57</v>
      </c>
      <c r="G26" s="46" t="s">
        <v>4</v>
      </c>
      <c r="H26" s="40"/>
      <c r="I26" s="21"/>
    </row>
    <row r="27" spans="2:9" x14ac:dyDescent="0.2">
      <c r="B27" s="3"/>
      <c r="C27" s="56"/>
      <c r="D27" s="13"/>
      <c r="E27" s="63"/>
      <c r="G27" s="12"/>
      <c r="H27" s="40"/>
      <c r="I27" s="21"/>
    </row>
    <row r="28" spans="2:9" x14ac:dyDescent="0.2">
      <c r="B28" s="73"/>
      <c r="C28" s="56"/>
      <c r="D28" s="64"/>
      <c r="E28" s="63"/>
      <c r="G28" s="12"/>
      <c r="H28" s="40"/>
      <c r="I28" s="21"/>
    </row>
    <row r="29" spans="2:9" s="2" customFormat="1" x14ac:dyDescent="0.2">
      <c r="B29" s="68" t="s">
        <v>16</v>
      </c>
      <c r="C29" s="57" t="s">
        <v>38</v>
      </c>
      <c r="D29" s="52" t="s">
        <v>39</v>
      </c>
      <c r="E29" s="44" t="s">
        <v>58</v>
      </c>
      <c r="F29" s="66">
        <v>74.900000000000006</v>
      </c>
      <c r="G29" s="48">
        <v>1</v>
      </c>
      <c r="H29" s="65">
        <f>F29*G29</f>
        <v>74.900000000000006</v>
      </c>
    </row>
    <row r="30" spans="2:9" s="2" customFormat="1" x14ac:dyDescent="0.2">
      <c r="B30" s="23"/>
      <c r="C30" s="7"/>
      <c r="E30" s="45" t="s">
        <v>59</v>
      </c>
      <c r="F30" s="24"/>
      <c r="G30" s="46" t="s">
        <v>4</v>
      </c>
      <c r="H30" s="19"/>
      <c r="I30" s="37" t="s">
        <v>38</v>
      </c>
    </row>
    <row r="31" spans="2:9" s="2" customFormat="1" x14ac:dyDescent="0.2">
      <c r="B31" s="23"/>
      <c r="C31" s="7"/>
      <c r="D31" s="25"/>
      <c r="E31" s="45"/>
      <c r="F31" s="24"/>
      <c r="G31" s="12"/>
      <c r="H31" s="19"/>
    </row>
    <row r="32" spans="2:9" s="2" customFormat="1" x14ac:dyDescent="0.2">
      <c r="B32" s="23"/>
      <c r="C32" s="7"/>
      <c r="D32" s="25"/>
      <c r="E32" s="25"/>
      <c r="F32" s="24"/>
      <c r="G32" s="12"/>
      <c r="H32" s="19"/>
    </row>
    <row r="33" spans="2:11" s="2" customFormat="1" x14ac:dyDescent="0.2">
      <c r="B33" s="23"/>
      <c r="C33" s="7"/>
      <c r="D33" s="25"/>
      <c r="E33" s="45"/>
      <c r="F33" s="24"/>
      <c r="G33" s="12"/>
      <c r="H33" s="19"/>
    </row>
    <row r="34" spans="2:11" x14ac:dyDescent="0.2">
      <c r="B34" s="4"/>
      <c r="C34" s="59"/>
      <c r="D34" s="15"/>
      <c r="E34" s="64"/>
      <c r="F34" s="61"/>
      <c r="G34" s="18"/>
      <c r="H34" s="20"/>
      <c r="I34" s="21"/>
    </row>
    <row r="35" spans="2:11" s="2" customFormat="1" x14ac:dyDescent="0.2">
      <c r="B35" s="68" t="s">
        <v>17</v>
      </c>
      <c r="C35" s="57" t="s">
        <v>40</v>
      </c>
      <c r="D35" s="52" t="s">
        <v>39</v>
      </c>
      <c r="E35" s="44" t="s">
        <v>41</v>
      </c>
      <c r="F35" s="66">
        <v>199</v>
      </c>
      <c r="G35" s="48">
        <v>2</v>
      </c>
      <c r="H35" s="65">
        <f>F35*G35</f>
        <v>398</v>
      </c>
    </row>
    <row r="36" spans="2:11" s="2" customFormat="1" x14ac:dyDescent="0.2">
      <c r="B36" s="23"/>
      <c r="C36" s="7"/>
      <c r="E36" s="25" t="s">
        <v>23</v>
      </c>
      <c r="F36" s="24"/>
      <c r="G36" s="46" t="s">
        <v>4</v>
      </c>
      <c r="H36" s="19"/>
      <c r="I36" s="37" t="s">
        <v>40</v>
      </c>
    </row>
    <row r="37" spans="2:11" s="2" customFormat="1" x14ac:dyDescent="0.2">
      <c r="B37" s="23"/>
      <c r="C37" s="7"/>
      <c r="D37" s="25"/>
      <c r="E37" s="45"/>
      <c r="F37" s="24"/>
      <c r="G37" s="12"/>
      <c r="H37" s="19"/>
    </row>
    <row r="38" spans="2:11" s="2" customFormat="1" x14ac:dyDescent="0.2">
      <c r="B38" s="23"/>
      <c r="C38" s="7"/>
      <c r="D38" s="25"/>
      <c r="E38" s="45"/>
      <c r="F38" s="24"/>
      <c r="G38" s="12"/>
      <c r="H38" s="19"/>
    </row>
    <row r="39" spans="2:11" s="2" customFormat="1" x14ac:dyDescent="0.2">
      <c r="B39" s="23"/>
      <c r="C39" s="7"/>
      <c r="D39" s="25"/>
      <c r="E39" s="45"/>
      <c r="F39" s="24"/>
      <c r="G39" s="12"/>
      <c r="H39" s="19"/>
    </row>
    <row r="40" spans="2:11" s="2" customFormat="1" x14ac:dyDescent="0.2">
      <c r="B40" s="4"/>
      <c r="C40" s="59"/>
      <c r="D40" s="15"/>
      <c r="E40" s="64"/>
      <c r="F40" s="61"/>
      <c r="G40" s="18"/>
      <c r="H40" s="20"/>
    </row>
    <row r="41" spans="2:11" s="2" customFormat="1" x14ac:dyDescent="0.2">
      <c r="B41" s="69" t="s">
        <v>52</v>
      </c>
      <c r="C41" s="10" t="s">
        <v>43</v>
      </c>
      <c r="D41" s="43" t="s">
        <v>44</v>
      </c>
      <c r="E41" s="22" t="s">
        <v>45</v>
      </c>
      <c r="F41" s="60">
        <v>75.650000000000006</v>
      </c>
      <c r="G41" s="28">
        <v>1</v>
      </c>
      <c r="H41" s="29">
        <f>F41*G41</f>
        <v>75.650000000000006</v>
      </c>
    </row>
    <row r="42" spans="2:11" s="2" customFormat="1" x14ac:dyDescent="0.2">
      <c r="B42" s="3"/>
      <c r="C42" s="7"/>
      <c r="E42" s="39" t="s">
        <v>42</v>
      </c>
      <c r="G42" s="14" t="s">
        <v>4</v>
      </c>
      <c r="H42" s="40"/>
      <c r="I42" s="71" t="s">
        <v>46</v>
      </c>
      <c r="J42" s="37"/>
      <c r="K42" s="37"/>
    </row>
    <row r="43" spans="2:11" s="2" customFormat="1" x14ac:dyDescent="0.2">
      <c r="B43" s="3"/>
      <c r="C43" s="7"/>
      <c r="E43" s="63"/>
      <c r="F43" s="24"/>
      <c r="G43" s="70"/>
      <c r="H43" s="27"/>
    </row>
    <row r="44" spans="2:11" s="2" customFormat="1" x14ac:dyDescent="0.2">
      <c r="B44" s="3"/>
      <c r="C44" s="7"/>
      <c r="E44" s="63"/>
      <c r="F44" s="24"/>
      <c r="G44" s="12"/>
      <c r="H44" s="19"/>
      <c r="I44" s="37"/>
    </row>
    <row r="45" spans="2:11" s="2" customFormat="1" x14ac:dyDescent="0.2">
      <c r="B45" s="3"/>
      <c r="C45" s="7"/>
      <c r="E45" s="63"/>
      <c r="F45" s="24"/>
      <c r="G45" s="12"/>
      <c r="H45" s="19"/>
    </row>
    <row r="46" spans="2:11" s="2" customFormat="1" x14ac:dyDescent="0.2">
      <c r="B46" s="3"/>
      <c r="C46" s="15"/>
      <c r="D46" s="64"/>
      <c r="E46" s="61"/>
      <c r="F46" s="18"/>
      <c r="G46" s="18"/>
      <c r="H46" s="20"/>
    </row>
    <row r="47" spans="2:11" s="2" customFormat="1" x14ac:dyDescent="0.2">
      <c r="B47" s="89" t="s">
        <v>61</v>
      </c>
      <c r="C47" s="10" t="s">
        <v>20</v>
      </c>
      <c r="D47" s="43" t="s">
        <v>21</v>
      </c>
      <c r="E47" s="22" t="s">
        <v>24</v>
      </c>
      <c r="F47" s="60">
        <v>23.89</v>
      </c>
      <c r="G47" s="28">
        <v>1</v>
      </c>
      <c r="H47" s="29">
        <f>F47*G47</f>
        <v>23.89</v>
      </c>
      <c r="I47" s="38"/>
    </row>
    <row r="48" spans="2:11" s="2" customFormat="1" x14ac:dyDescent="0.2">
      <c r="B48" s="23"/>
      <c r="C48" s="7"/>
      <c r="D48" s="25"/>
      <c r="E48" s="39"/>
      <c r="F48" s="7"/>
      <c r="G48" s="12" t="s">
        <v>4</v>
      </c>
      <c r="H48" s="19"/>
      <c r="I48" s="37" t="s">
        <v>20</v>
      </c>
    </row>
    <row r="49" spans="2:54" s="2" customFormat="1" x14ac:dyDescent="0.2">
      <c r="B49" s="23"/>
      <c r="C49" s="7"/>
      <c r="D49" s="25"/>
      <c r="E49" s="39"/>
      <c r="F49" s="7"/>
      <c r="G49" s="12"/>
      <c r="H49" s="19"/>
    </row>
    <row r="50" spans="2:54" s="2" customFormat="1" x14ac:dyDescent="0.2">
      <c r="B50" s="23"/>
      <c r="C50" s="7"/>
      <c r="D50" s="25"/>
      <c r="E50" s="39"/>
      <c r="F50" s="7"/>
      <c r="G50" s="12"/>
      <c r="H50" s="19"/>
    </row>
    <row r="51" spans="2:54" s="2" customFormat="1" x14ac:dyDescent="0.2">
      <c r="B51" s="23"/>
      <c r="C51" s="7"/>
      <c r="D51" s="25"/>
      <c r="E51" s="39"/>
      <c r="F51" s="7"/>
      <c r="G51" s="12"/>
      <c r="H51" s="19"/>
    </row>
    <row r="52" spans="2:54" s="2" customFormat="1" x14ac:dyDescent="0.2">
      <c r="B52" s="73"/>
      <c r="C52" s="17"/>
      <c r="D52" s="74"/>
      <c r="E52" s="74"/>
      <c r="F52" s="17"/>
      <c r="G52" s="18"/>
      <c r="H52" s="20"/>
    </row>
    <row r="53" spans="2:54" s="2" customFormat="1" x14ac:dyDescent="0.2">
      <c r="B53" s="75" t="s">
        <v>60</v>
      </c>
      <c r="C53" s="9" t="s">
        <v>47</v>
      </c>
      <c r="D53" s="43" t="s">
        <v>49</v>
      </c>
      <c r="E53" s="22"/>
      <c r="F53" s="49">
        <v>0</v>
      </c>
      <c r="G53" s="28">
        <v>0</v>
      </c>
      <c r="H53" s="29">
        <f>F53*G53</f>
        <v>0</v>
      </c>
      <c r="I53" s="38"/>
    </row>
    <row r="54" spans="2:54" s="2" customFormat="1" x14ac:dyDescent="0.2">
      <c r="B54" s="23"/>
      <c r="C54" s="7" t="s">
        <v>48</v>
      </c>
      <c r="D54" s="25" t="s">
        <v>50</v>
      </c>
      <c r="E54" s="39"/>
      <c r="F54" s="7"/>
      <c r="G54" s="12" t="s">
        <v>4</v>
      </c>
      <c r="H54" s="19"/>
      <c r="I54" s="37"/>
    </row>
    <row r="55" spans="2:54" s="2" customFormat="1" x14ac:dyDescent="0.2">
      <c r="B55" s="23"/>
      <c r="C55" s="7"/>
      <c r="D55" s="25" t="s">
        <v>51</v>
      </c>
      <c r="E55" s="39"/>
      <c r="F55" s="7"/>
      <c r="G55" s="12"/>
      <c r="H55" s="19"/>
    </row>
    <row r="56" spans="2:54" s="2" customFormat="1" x14ac:dyDescent="0.2">
      <c r="B56" s="23"/>
      <c r="C56" s="7"/>
      <c r="D56" s="25"/>
      <c r="E56" s="39"/>
      <c r="F56" s="7"/>
      <c r="G56" s="12"/>
      <c r="H56" s="19"/>
    </row>
    <row r="57" spans="2:54" ht="18.75" x14ac:dyDescent="0.2">
      <c r="B57" s="91" t="s">
        <v>7</v>
      </c>
      <c r="C57" s="92"/>
      <c r="D57" s="92"/>
      <c r="E57" s="92"/>
      <c r="F57" s="92"/>
      <c r="G57" s="93"/>
      <c r="H57" s="79">
        <f>SUM(H6:H56)</f>
        <v>1313.41</v>
      </c>
      <c r="I57" s="2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:54" s="2" customFormat="1" x14ac:dyDescent="0.2">
      <c r="B58" s="80"/>
      <c r="C58" s="81"/>
      <c r="D58" s="25"/>
      <c r="E58" s="25"/>
      <c r="F58" s="82"/>
      <c r="G58" s="83"/>
      <c r="H58" s="84"/>
      <c r="I58" s="37"/>
    </row>
    <row r="59" spans="2:54" s="2" customFormat="1" x14ac:dyDescent="0.2">
      <c r="B59" s="85"/>
      <c r="D59" s="25"/>
      <c r="E59" s="25"/>
      <c r="G59" s="14"/>
      <c r="H59" s="86"/>
      <c r="I59" s="37"/>
    </row>
    <row r="60" spans="2:54" s="2" customFormat="1" x14ac:dyDescent="0.2">
      <c r="B60" s="85"/>
      <c r="D60" s="25"/>
      <c r="E60" s="25"/>
      <c r="G60" s="14"/>
      <c r="H60" s="86"/>
    </row>
    <row r="61" spans="2:54" s="2" customFormat="1" x14ac:dyDescent="0.2">
      <c r="B61" s="85"/>
      <c r="D61" s="25"/>
      <c r="E61" s="25"/>
      <c r="G61" s="14"/>
      <c r="H61" s="86"/>
    </row>
    <row r="62" spans="2:54" s="2" customFormat="1" x14ac:dyDescent="0.2">
      <c r="D62" s="25"/>
      <c r="E62" s="25"/>
      <c r="G62" s="14"/>
      <c r="H62" s="86"/>
    </row>
    <row r="63" spans="2:54" s="2" customFormat="1" x14ac:dyDescent="0.2">
      <c r="B63" s="80"/>
      <c r="C63" s="87"/>
      <c r="D63" s="25"/>
      <c r="E63" s="25"/>
      <c r="F63" s="82"/>
      <c r="G63" s="83"/>
      <c r="H63" s="84"/>
    </row>
    <row r="64" spans="2:54" s="2" customFormat="1" x14ac:dyDescent="0.2">
      <c r="D64" s="25"/>
      <c r="E64" s="25"/>
      <c r="G64" s="14"/>
      <c r="H64" s="86"/>
      <c r="I64" s="37"/>
    </row>
    <row r="65" spans="2:9" s="2" customFormat="1" x14ac:dyDescent="0.2">
      <c r="D65" s="25"/>
      <c r="E65" s="25"/>
      <c r="G65" s="14"/>
      <c r="H65" s="86"/>
      <c r="I65" s="37"/>
    </row>
    <row r="66" spans="2:9" s="2" customFormat="1" x14ac:dyDescent="0.2">
      <c r="D66" s="25"/>
      <c r="E66" s="25"/>
      <c r="G66" s="14"/>
      <c r="H66" s="86"/>
      <c r="I66" s="37"/>
    </row>
    <row r="67" spans="2:9" s="2" customFormat="1" x14ac:dyDescent="0.2">
      <c r="D67" s="25"/>
      <c r="E67" s="25"/>
      <c r="G67" s="14"/>
      <c r="H67" s="86"/>
      <c r="I67" s="37"/>
    </row>
    <row r="68" spans="2:9" s="2" customFormat="1" x14ac:dyDescent="0.2">
      <c r="D68" s="25"/>
      <c r="E68" s="25"/>
      <c r="G68" s="14"/>
      <c r="H68" s="86"/>
      <c r="I68" s="37"/>
    </row>
    <row r="69" spans="2:9" s="2" customFormat="1" x14ac:dyDescent="0.2">
      <c r="B69" s="80"/>
      <c r="C69" s="87"/>
      <c r="D69" s="25"/>
      <c r="E69" s="25"/>
      <c r="F69" s="82"/>
      <c r="G69" s="83"/>
      <c r="H69" s="84"/>
    </row>
    <row r="70" spans="2:9" s="2" customFormat="1" x14ac:dyDescent="0.2">
      <c r="B70" s="80"/>
      <c r="C70" s="87"/>
      <c r="D70" s="25"/>
      <c r="E70" s="25"/>
      <c r="F70" s="82"/>
      <c r="G70" s="83"/>
      <c r="H70" s="84"/>
    </row>
    <row r="71" spans="2:9" s="2" customFormat="1" x14ac:dyDescent="0.2">
      <c r="B71" s="80"/>
      <c r="C71" s="87"/>
      <c r="D71" s="25"/>
      <c r="E71" s="25"/>
      <c r="F71" s="82"/>
      <c r="G71" s="83"/>
      <c r="H71" s="84"/>
      <c r="I71" s="37"/>
    </row>
    <row r="72" spans="2:9" s="2" customFormat="1" x14ac:dyDescent="0.2">
      <c r="B72" s="80"/>
      <c r="C72" s="87"/>
      <c r="D72" s="25"/>
      <c r="E72" s="25"/>
      <c r="F72" s="82"/>
      <c r="G72" s="83"/>
      <c r="H72" s="84"/>
      <c r="I72" s="37"/>
    </row>
    <row r="73" spans="2:9" s="2" customFormat="1" x14ac:dyDescent="0.2">
      <c r="B73" s="80"/>
      <c r="C73" s="87"/>
      <c r="D73" s="25"/>
      <c r="E73" s="25"/>
      <c r="F73" s="82"/>
      <c r="G73" s="83"/>
      <c r="H73" s="84"/>
      <c r="I73" s="37"/>
    </row>
    <row r="74" spans="2:9" s="2" customFormat="1" x14ac:dyDescent="0.2">
      <c r="C74" s="88"/>
      <c r="D74" s="13"/>
      <c r="E74" s="13"/>
      <c r="G74" s="14"/>
      <c r="H74" s="86"/>
      <c r="I74" s="37"/>
    </row>
    <row r="75" spans="2:9" s="2" customFormat="1" x14ac:dyDescent="0.2">
      <c r="B75" s="80"/>
      <c r="C75" s="87"/>
      <c r="D75" s="25"/>
      <c r="E75" s="25"/>
      <c r="F75" s="82"/>
      <c r="G75" s="83"/>
      <c r="H75" s="84"/>
    </row>
    <row r="76" spans="2:9" s="2" customFormat="1" x14ac:dyDescent="0.2">
      <c r="B76" s="80"/>
      <c r="C76" s="87"/>
      <c r="D76" s="25"/>
      <c r="E76" s="25"/>
      <c r="F76" s="82"/>
      <c r="G76" s="83"/>
      <c r="H76" s="84"/>
    </row>
    <row r="77" spans="2:9" s="2" customFormat="1" x14ac:dyDescent="0.2">
      <c r="B77" s="80"/>
      <c r="C77" s="87"/>
      <c r="D77" s="25"/>
      <c r="E77" s="25"/>
      <c r="F77" s="82"/>
      <c r="G77" s="83"/>
      <c r="H77" s="84"/>
      <c r="I77" s="37"/>
    </row>
    <row r="78" spans="2:9" s="2" customFormat="1" x14ac:dyDescent="0.2">
      <c r="B78" s="80"/>
      <c r="C78" s="87"/>
      <c r="D78" s="25"/>
      <c r="E78" s="25"/>
      <c r="F78" s="82"/>
      <c r="G78" s="83"/>
      <c r="H78" s="84"/>
      <c r="I78" s="37"/>
    </row>
    <row r="79" spans="2:9" s="2" customFormat="1" x14ac:dyDescent="0.2">
      <c r="B79" s="80"/>
      <c r="C79" s="87"/>
      <c r="D79" s="25"/>
      <c r="E79" s="25"/>
      <c r="F79" s="82"/>
      <c r="G79" s="83"/>
      <c r="H79" s="84"/>
      <c r="I79" s="37"/>
    </row>
    <row r="80" spans="2:9" s="2" customFormat="1" x14ac:dyDescent="0.2">
      <c r="C80" s="88"/>
      <c r="D80" s="13"/>
      <c r="E80" s="13"/>
      <c r="G80" s="14"/>
      <c r="H80" s="86"/>
      <c r="I80" s="37"/>
    </row>
    <row r="81" spans="2:54" s="2" customFormat="1" x14ac:dyDescent="0.2">
      <c r="G81" s="5"/>
    </row>
    <row r="82" spans="2:54" s="2" customFormat="1" x14ac:dyDescent="0.2"/>
    <row r="83" spans="2:54" s="2" customFormat="1" x14ac:dyDescent="0.2"/>
    <row r="84" spans="2:54" x14ac:dyDescent="0.2">
      <c r="B84" s="2"/>
      <c r="C84" s="2"/>
      <c r="G84" s="2"/>
      <c r="H84" s="2"/>
      <c r="I84" s="2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2:54" x14ac:dyDescent="0.2">
      <c r="B85" s="2"/>
      <c r="C85" s="2"/>
      <c r="G85" s="2"/>
      <c r="H85" s="2"/>
      <c r="I85" s="2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2:54" x14ac:dyDescent="0.2">
      <c r="B86" s="2"/>
      <c r="C86" s="2"/>
      <c r="G86" s="2"/>
      <c r="H86" s="2"/>
      <c r="I86" s="2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2:54" x14ac:dyDescent="0.2">
      <c r="B87" s="2"/>
      <c r="C87" s="2"/>
      <c r="G87" s="2"/>
      <c r="H87" s="2"/>
      <c r="I87" s="2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2:54" x14ac:dyDescent="0.2">
      <c r="B88" s="2"/>
      <c r="C88" s="2"/>
      <c r="G88" s="2"/>
      <c r="H88" s="2"/>
      <c r="I88" s="2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2:54" x14ac:dyDescent="0.2">
      <c r="B89" s="2"/>
      <c r="C89" s="2"/>
      <c r="G89" s="2"/>
      <c r="H89" s="2"/>
      <c r="I89" s="2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2:54" x14ac:dyDescent="0.2">
      <c r="B90" s="2"/>
      <c r="C90" s="2"/>
      <c r="G90" s="2"/>
      <c r="H90" s="2"/>
      <c r="I90" s="2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2:54" x14ac:dyDescent="0.2">
      <c r="B91" s="2"/>
      <c r="C91" s="2"/>
      <c r="G91" s="2"/>
      <c r="H91" s="2"/>
      <c r="I91" s="2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2:54" x14ac:dyDescent="0.2">
      <c r="B92" s="2"/>
      <c r="C92" s="2"/>
      <c r="G92" s="2"/>
      <c r="H92" s="2"/>
      <c r="I92" s="2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2:54" x14ac:dyDescent="0.2">
      <c r="B93" s="2"/>
      <c r="C93" s="2"/>
      <c r="G93" s="2"/>
      <c r="H93" s="2"/>
      <c r="I93" s="2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2:54" x14ac:dyDescent="0.2">
      <c r="B94" s="2"/>
      <c r="C94" s="2"/>
      <c r="G94" s="2"/>
      <c r="H94" s="2"/>
      <c r="I94" s="2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2:54" x14ac:dyDescent="0.2">
      <c r="B95" s="2"/>
      <c r="C95" s="2"/>
      <c r="G95" s="2"/>
      <c r="H95" s="2"/>
      <c r="I95" s="2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2:54" x14ac:dyDescent="0.2">
      <c r="B96" s="2"/>
      <c r="C96" s="2"/>
      <c r="G96" s="2"/>
      <c r="H96" s="2"/>
      <c r="I96" s="2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2:54" x14ac:dyDescent="0.2">
      <c r="B97" s="2"/>
      <c r="C97" s="2"/>
      <c r="G97" s="2"/>
      <c r="H97" s="2"/>
      <c r="I97" s="2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2:54" x14ac:dyDescent="0.2">
      <c r="B98" s="2"/>
      <c r="C98" s="2"/>
      <c r="G98" s="2"/>
      <c r="H98" s="2"/>
      <c r="I98" s="2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2:54" x14ac:dyDescent="0.2">
      <c r="B99" s="2"/>
      <c r="C99" s="2"/>
      <c r="G99" s="2"/>
      <c r="H99" s="2"/>
      <c r="I99" s="2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2:54" x14ac:dyDescent="0.2">
      <c r="B100" s="2"/>
      <c r="C100" s="2"/>
      <c r="G100" s="2"/>
      <c r="H100" s="2"/>
      <c r="I100" s="2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2:54" x14ac:dyDescent="0.2">
      <c r="B101" s="2"/>
      <c r="C101" s="2"/>
      <c r="G101" s="2"/>
      <c r="H101" s="2"/>
      <c r="I101" s="2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2:54" x14ac:dyDescent="0.2">
      <c r="B102" s="2"/>
      <c r="C102" s="2"/>
      <c r="G102" s="2"/>
      <c r="H102" s="2"/>
      <c r="I102" s="2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2:54" x14ac:dyDescent="0.2">
      <c r="B103" s="2"/>
      <c r="C103" s="2"/>
      <c r="G103" s="2"/>
      <c r="H103" s="2"/>
      <c r="I103" s="2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2:54" x14ac:dyDescent="0.2">
      <c r="B104" s="2"/>
      <c r="C104" s="2"/>
      <c r="G104" s="2"/>
      <c r="H104" s="2"/>
      <c r="I104" s="2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2:54" x14ac:dyDescent="0.2">
      <c r="B105" s="2"/>
      <c r="C105" s="2"/>
      <c r="G105" s="2"/>
      <c r="H105" s="2"/>
      <c r="I105" s="2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2:54" x14ac:dyDescent="0.2">
      <c r="B106" s="2"/>
      <c r="C106" s="2"/>
      <c r="G106" s="2"/>
      <c r="H106" s="2"/>
      <c r="I106" s="2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2:54" x14ac:dyDescent="0.2">
      <c r="B107" s="2"/>
      <c r="C107" s="2"/>
      <c r="G107" s="2"/>
      <c r="H107" s="2"/>
      <c r="I107" s="2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2:54" x14ac:dyDescent="0.2">
      <c r="B108" s="2"/>
      <c r="C108" s="2"/>
      <c r="G108" s="2"/>
      <c r="H108" s="2"/>
      <c r="I108" s="2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2:54" x14ac:dyDescent="0.2">
      <c r="B109" s="2"/>
      <c r="C109" s="2"/>
      <c r="G109" s="2"/>
      <c r="H109" s="2"/>
      <c r="I109" s="2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2:54" x14ac:dyDescent="0.2">
      <c r="B110" s="2"/>
      <c r="C110" s="2"/>
      <c r="G110" s="2"/>
      <c r="H110" s="2"/>
      <c r="I110" s="2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2:54" x14ac:dyDescent="0.2">
      <c r="B111" s="2"/>
      <c r="C111" s="2"/>
      <c r="G111" s="2"/>
      <c r="H111" s="2"/>
      <c r="I111" s="2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2:54" x14ac:dyDescent="0.2">
      <c r="B112" s="2"/>
      <c r="C112" s="2"/>
      <c r="G112" s="2"/>
      <c r="H112" s="2"/>
      <c r="I112" s="2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2:54" x14ac:dyDescent="0.2">
      <c r="B113" s="2"/>
      <c r="C113" s="2"/>
      <c r="G113" s="2"/>
      <c r="H113" s="2"/>
      <c r="I113" s="2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2:54" x14ac:dyDescent="0.2">
      <c r="B114" s="2"/>
      <c r="C114" s="2"/>
      <c r="G114" s="2"/>
      <c r="H114" s="2"/>
      <c r="I114" s="2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2:54" x14ac:dyDescent="0.2">
      <c r="B115" s="2"/>
      <c r="C115" s="2"/>
      <c r="G115" s="2"/>
      <c r="H115" s="2"/>
      <c r="I115" s="2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2:54" x14ac:dyDescent="0.2">
      <c r="B116" s="2"/>
      <c r="C116" s="2"/>
      <c r="G116" s="2"/>
      <c r="H116" s="2"/>
      <c r="I116" s="2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2:54" x14ac:dyDescent="0.2">
      <c r="B117" s="2"/>
      <c r="C117" s="2"/>
      <c r="G117" s="2"/>
      <c r="H117" s="2"/>
      <c r="I117" s="2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2:54" x14ac:dyDescent="0.2">
      <c r="B118" s="2"/>
      <c r="C118" s="2"/>
      <c r="G118" s="2"/>
      <c r="H118" s="2"/>
      <c r="I118" s="2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2:54" x14ac:dyDescent="0.2">
      <c r="B119" s="2"/>
      <c r="C119" s="2"/>
      <c r="G119" s="2"/>
      <c r="H119" s="2"/>
      <c r="I119" s="2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2:54" x14ac:dyDescent="0.2">
      <c r="B120" s="2"/>
      <c r="C120" s="2"/>
      <c r="G120" s="2"/>
      <c r="H120" s="2"/>
      <c r="I120" s="2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2:54" x14ac:dyDescent="0.2">
      <c r="B121" s="2"/>
      <c r="C121" s="2"/>
      <c r="G121" s="2"/>
      <c r="H121" s="2"/>
      <c r="I121" s="2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2:54" x14ac:dyDescent="0.2">
      <c r="B122" s="2"/>
      <c r="C122" s="2"/>
      <c r="G122" s="2"/>
      <c r="H122" s="2"/>
      <c r="I122" s="2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2:54" x14ac:dyDescent="0.2">
      <c r="B123" s="2"/>
      <c r="C123" s="2"/>
      <c r="G123" s="2"/>
      <c r="H123" s="2"/>
      <c r="I123" s="2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2:54" x14ac:dyDescent="0.2">
      <c r="B124" s="2"/>
      <c r="C124" s="2"/>
      <c r="G124" s="2"/>
      <c r="H124" s="2"/>
      <c r="I124" s="2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2:54" x14ac:dyDescent="0.2">
      <c r="B125" s="2"/>
      <c r="C125" s="2"/>
      <c r="G125" s="2"/>
      <c r="H125" s="2"/>
      <c r="I125" s="2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2:54" x14ac:dyDescent="0.2">
      <c r="B126" s="2"/>
      <c r="C126" s="2"/>
      <c r="G126" s="2"/>
      <c r="H126" s="2"/>
      <c r="I126" s="2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2:54" x14ac:dyDescent="0.2">
      <c r="B127" s="2"/>
      <c r="C127" s="2"/>
      <c r="G127" s="2"/>
      <c r="H127" s="2"/>
      <c r="I127" s="2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2:54" x14ac:dyDescent="0.2">
      <c r="B128" s="2"/>
      <c r="C128" s="2"/>
      <c r="G128" s="2"/>
      <c r="H128" s="2"/>
      <c r="I128" s="2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2:54" x14ac:dyDescent="0.2">
      <c r="B129" s="2"/>
      <c r="C129" s="2"/>
      <c r="G129" s="2"/>
      <c r="H129" s="2"/>
      <c r="I129" s="2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2:54" x14ac:dyDescent="0.2">
      <c r="B130" s="2"/>
      <c r="C130" s="2"/>
      <c r="G130" s="2"/>
      <c r="H130" s="2"/>
      <c r="I130" s="2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2:54" x14ac:dyDescent="0.2">
      <c r="B131" s="2"/>
      <c r="C131" s="2"/>
      <c r="G131" s="2"/>
      <c r="H131" s="2"/>
      <c r="I131" s="2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2:54" x14ac:dyDescent="0.2">
      <c r="B132" s="2"/>
      <c r="C132" s="2"/>
      <c r="G132" s="2"/>
      <c r="H132" s="2"/>
      <c r="I132" s="2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2:54" x14ac:dyDescent="0.2">
      <c r="B133" s="2"/>
      <c r="C133" s="2"/>
      <c r="G133" s="2"/>
      <c r="H133" s="2"/>
      <c r="I133" s="2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2:54" x14ac:dyDescent="0.2">
      <c r="B134" s="2"/>
      <c r="C134" s="2"/>
      <c r="G134" s="2"/>
      <c r="H134" s="2"/>
      <c r="I134" s="2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2:54" x14ac:dyDescent="0.2">
      <c r="B135" s="2"/>
      <c r="C135" s="2"/>
      <c r="G135" s="2"/>
      <c r="H135" s="2"/>
      <c r="I135" s="2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2:54" x14ac:dyDescent="0.2">
      <c r="B136" s="2"/>
      <c r="C136" s="2"/>
      <c r="G136" s="2"/>
      <c r="H136" s="2"/>
      <c r="I136" s="2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2:54" x14ac:dyDescent="0.2">
      <c r="B137" s="2"/>
      <c r="C137" s="2"/>
      <c r="G137" s="2"/>
      <c r="H137" s="2"/>
      <c r="I137" s="2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2:54" x14ac:dyDescent="0.2">
      <c r="B138" s="2"/>
      <c r="C138" s="2"/>
      <c r="G138" s="2"/>
      <c r="H138" s="2"/>
      <c r="I138" s="2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2:54" x14ac:dyDescent="0.2">
      <c r="B139" s="2"/>
      <c r="C139" s="2"/>
      <c r="G139" s="2"/>
      <c r="H139" s="2"/>
      <c r="I139" s="2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2:54" x14ac:dyDescent="0.2">
      <c r="B140" s="2"/>
      <c r="C140" s="2"/>
      <c r="G140" s="2"/>
      <c r="H140" s="2"/>
      <c r="I140" s="2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2:54" x14ac:dyDescent="0.2">
      <c r="B141" s="2"/>
      <c r="C141" s="2"/>
      <c r="G141" s="2"/>
      <c r="H141" s="2"/>
      <c r="I141" s="2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2:54" x14ac:dyDescent="0.2">
      <c r="B142" s="2"/>
      <c r="C142" s="2"/>
      <c r="G142" s="2"/>
      <c r="H142" s="2"/>
      <c r="I142" s="2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2:54" x14ac:dyDescent="0.2">
      <c r="B143" s="2"/>
      <c r="C143" s="2"/>
      <c r="G143" s="2"/>
      <c r="H143" s="2"/>
      <c r="I143" s="2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2:54" x14ac:dyDescent="0.2">
      <c r="B144" s="2"/>
      <c r="C144" s="2"/>
      <c r="G144" s="2"/>
      <c r="H144" s="2"/>
      <c r="I144" s="2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2:54" x14ac:dyDescent="0.2">
      <c r="B145" s="2"/>
      <c r="C145" s="2"/>
      <c r="G145" s="2"/>
      <c r="H145" s="2"/>
      <c r="I145" s="2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2:54" x14ac:dyDescent="0.2">
      <c r="B146" s="2"/>
      <c r="C146" s="2"/>
      <c r="G146" s="2"/>
      <c r="H146" s="2"/>
      <c r="I146" s="2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2:54" x14ac:dyDescent="0.2">
      <c r="B147" s="2"/>
      <c r="C147" s="2"/>
      <c r="G147" s="2"/>
      <c r="H147" s="2"/>
      <c r="I147" s="2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2:54" x14ac:dyDescent="0.2">
      <c r="B148" s="2"/>
      <c r="C148" s="2"/>
      <c r="G148" s="2"/>
      <c r="H148" s="2"/>
      <c r="I148" s="2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2:54" x14ac:dyDescent="0.2">
      <c r="B149" s="2"/>
      <c r="C149" s="2"/>
      <c r="G149" s="2"/>
      <c r="H149" s="2"/>
      <c r="I149" s="2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2:54" x14ac:dyDescent="0.2">
      <c r="B150" s="2"/>
      <c r="C150" s="2"/>
      <c r="G150" s="2"/>
      <c r="H150" s="2"/>
      <c r="I150" s="2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2:54" x14ac:dyDescent="0.2">
      <c r="B151" s="2"/>
      <c r="C151" s="2"/>
      <c r="G151" s="2"/>
      <c r="H151" s="2"/>
      <c r="I151" s="2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2:54" x14ac:dyDescent="0.2">
      <c r="B152" s="2"/>
      <c r="C152" s="2"/>
      <c r="G152" s="2"/>
      <c r="H152" s="2"/>
      <c r="I152" s="2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2:54" x14ac:dyDescent="0.2">
      <c r="B153" s="2"/>
      <c r="C153" s="2"/>
      <c r="G153" s="2"/>
      <c r="H153" s="2"/>
      <c r="I153" s="2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2:54" x14ac:dyDescent="0.2">
      <c r="B154" s="2"/>
      <c r="C154" s="2"/>
      <c r="G154" s="2"/>
      <c r="H154" s="2"/>
      <c r="I154" s="2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2:54" x14ac:dyDescent="0.2">
      <c r="B155" s="2"/>
      <c r="C155" s="2"/>
      <c r="G155" s="2"/>
      <c r="H155" s="2"/>
      <c r="I155" s="2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2:54" x14ac:dyDescent="0.2">
      <c r="B156" s="2"/>
      <c r="C156" s="2"/>
      <c r="G156" s="2"/>
      <c r="H156" s="2"/>
      <c r="I156" s="2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2:54" x14ac:dyDescent="0.2">
      <c r="B157" s="2"/>
      <c r="C157" s="2"/>
      <c r="G157" s="2"/>
      <c r="H157" s="2"/>
      <c r="I157" s="2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2:54" x14ac:dyDescent="0.2">
      <c r="B158" s="2"/>
      <c r="C158" s="2"/>
      <c r="G158" s="2"/>
      <c r="H158" s="2"/>
      <c r="I158" s="2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2:54" x14ac:dyDescent="0.2">
      <c r="B159" s="2"/>
      <c r="C159" s="2"/>
      <c r="G159" s="2"/>
      <c r="H159" s="2"/>
      <c r="I159" s="2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2:54" x14ac:dyDescent="0.2">
      <c r="B160" s="2"/>
      <c r="C160" s="2"/>
      <c r="G160" s="2"/>
      <c r="H160" s="2"/>
      <c r="I160" s="2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2:54" x14ac:dyDescent="0.2">
      <c r="B161" s="2"/>
      <c r="C161" s="2"/>
      <c r="G161" s="2"/>
      <c r="H161" s="2"/>
      <c r="I161" s="2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2:54" x14ac:dyDescent="0.2">
      <c r="B162" s="2"/>
      <c r="C162" s="2"/>
      <c r="G162" s="2"/>
      <c r="H162" s="2"/>
      <c r="I162" s="2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2:54" x14ac:dyDescent="0.2">
      <c r="B163" s="2"/>
      <c r="C163" s="2"/>
      <c r="G163" s="2"/>
      <c r="H163" s="2"/>
      <c r="I163" s="2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2:54" x14ac:dyDescent="0.2">
      <c r="B164" s="2"/>
      <c r="C164" s="2"/>
      <c r="G164" s="2"/>
      <c r="H164" s="2"/>
      <c r="I164" s="2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2:54" x14ac:dyDescent="0.2">
      <c r="B165" s="2"/>
      <c r="C165" s="2"/>
      <c r="G165" s="2"/>
      <c r="H165" s="2"/>
      <c r="I165" s="2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2:54" x14ac:dyDescent="0.2">
      <c r="B166" s="2"/>
      <c r="C166" s="2"/>
      <c r="G166" s="2"/>
      <c r="H166" s="2"/>
      <c r="I166" s="2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2:54" x14ac:dyDescent="0.2">
      <c r="B167" s="2"/>
      <c r="C167" s="2"/>
      <c r="G167" s="2"/>
      <c r="H167" s="2"/>
      <c r="I167" s="2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2:54" x14ac:dyDescent="0.2">
      <c r="B168" s="2"/>
      <c r="C168" s="2"/>
      <c r="G168" s="2"/>
      <c r="H168" s="2"/>
      <c r="I168" s="2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2:54" x14ac:dyDescent="0.2">
      <c r="B169" s="2"/>
      <c r="C169" s="2"/>
      <c r="G169" s="2"/>
      <c r="H169" s="2"/>
      <c r="I169" s="2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2:54" x14ac:dyDescent="0.2">
      <c r="B170" s="2"/>
      <c r="C170" s="2"/>
      <c r="G170" s="2"/>
      <c r="H170" s="2"/>
      <c r="I170" s="2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2:54" x14ac:dyDescent="0.2">
      <c r="B171" s="2"/>
      <c r="C171" s="2"/>
      <c r="G171" s="2"/>
      <c r="H171" s="2"/>
      <c r="I171" s="2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2:54" x14ac:dyDescent="0.2">
      <c r="B172" s="2"/>
      <c r="C172" s="2"/>
      <c r="G172" s="2"/>
      <c r="H172" s="2"/>
      <c r="I172" s="2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2:54" x14ac:dyDescent="0.2">
      <c r="B173" s="2"/>
      <c r="C173" s="2"/>
      <c r="G173" s="2"/>
      <c r="H173" s="2"/>
      <c r="I173" s="2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2:54" x14ac:dyDescent="0.2">
      <c r="B174" s="2"/>
      <c r="C174" s="2"/>
      <c r="G174" s="2"/>
      <c r="H174" s="2"/>
      <c r="I174" s="2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2:54" x14ac:dyDescent="0.2">
      <c r="B175" s="2"/>
      <c r="C175" s="2"/>
      <c r="G175" s="2"/>
      <c r="H175" s="2"/>
      <c r="I175" s="2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2:54" x14ac:dyDescent="0.2">
      <c r="B176" s="2"/>
      <c r="C176" s="2"/>
      <c r="G176" s="2"/>
      <c r="H176" s="2"/>
      <c r="I176" s="2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2:54" x14ac:dyDescent="0.2">
      <c r="B177" s="2"/>
      <c r="C177" s="2"/>
      <c r="G177" s="2"/>
      <c r="H177" s="2"/>
      <c r="I177" s="2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2:54" x14ac:dyDescent="0.2">
      <c r="B178" s="2"/>
      <c r="C178" s="2"/>
      <c r="G178" s="2"/>
      <c r="H178" s="2"/>
      <c r="I178" s="2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2:54" x14ac:dyDescent="0.2">
      <c r="B179" s="2"/>
      <c r="C179" s="2"/>
      <c r="G179" s="2"/>
      <c r="H179" s="2"/>
      <c r="I179" s="2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2:54" x14ac:dyDescent="0.2">
      <c r="B180" s="2"/>
      <c r="C180" s="2"/>
      <c r="G180" s="2"/>
      <c r="H180" s="2"/>
      <c r="I180" s="2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2:54" x14ac:dyDescent="0.2">
      <c r="B181" s="2"/>
      <c r="C181" s="2"/>
      <c r="G181" s="2"/>
      <c r="H181" s="2"/>
      <c r="I181" s="2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2:54" x14ac:dyDescent="0.2">
      <c r="B182" s="2"/>
      <c r="C182" s="2"/>
      <c r="G182" s="2"/>
      <c r="H182" s="2"/>
      <c r="I182" s="2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2:54" x14ac:dyDescent="0.2">
      <c r="B183" s="2"/>
      <c r="C183" s="2"/>
      <c r="G183" s="2"/>
      <c r="H183" s="2"/>
      <c r="I183" s="2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2:54" x14ac:dyDescent="0.2">
      <c r="B184" s="2"/>
      <c r="C184" s="2"/>
      <c r="G184" s="2"/>
      <c r="H184" s="2"/>
      <c r="I184" s="2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2:54" x14ac:dyDescent="0.2">
      <c r="B185" s="2"/>
      <c r="C185" s="2"/>
      <c r="G185" s="2"/>
      <c r="H185" s="2"/>
      <c r="I185" s="2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2:54" x14ac:dyDescent="0.2">
      <c r="B186" s="2"/>
      <c r="C186" s="2"/>
      <c r="G186" s="2"/>
      <c r="H186" s="2"/>
      <c r="I186" s="2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2:54" x14ac:dyDescent="0.2">
      <c r="B187" s="2"/>
      <c r="C187" s="2"/>
      <c r="G187" s="2"/>
      <c r="H187" s="2"/>
      <c r="I187" s="2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2:54" x14ac:dyDescent="0.2">
      <c r="B188" s="2"/>
      <c r="C188" s="2"/>
      <c r="G188" s="2"/>
      <c r="H188" s="2"/>
      <c r="I188" s="2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2:54" x14ac:dyDescent="0.2">
      <c r="B189" s="2"/>
      <c r="C189" s="2"/>
      <c r="G189" s="2"/>
      <c r="H189" s="2"/>
      <c r="I189" s="2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2:54" x14ac:dyDescent="0.2">
      <c r="B190" s="2"/>
      <c r="C190" s="2"/>
      <c r="G190" s="2"/>
      <c r="H190" s="2"/>
      <c r="I190" s="2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2:54" x14ac:dyDescent="0.2">
      <c r="B191" s="2"/>
      <c r="C191" s="2"/>
      <c r="G191" s="2"/>
      <c r="H191" s="2"/>
      <c r="I191" s="2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2:54" x14ac:dyDescent="0.2">
      <c r="B192" s="2"/>
      <c r="C192" s="2"/>
      <c r="G192" s="2"/>
      <c r="H192" s="2"/>
      <c r="I192" s="2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2:54" x14ac:dyDescent="0.2">
      <c r="B193" s="2"/>
      <c r="C193" s="2"/>
      <c r="G193" s="2"/>
      <c r="H193" s="2"/>
      <c r="I193" s="2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2:54" x14ac:dyDescent="0.2">
      <c r="B194" s="2"/>
      <c r="C194" s="2"/>
      <c r="G194" s="2"/>
      <c r="H194" s="2"/>
      <c r="I194" s="2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2:54" x14ac:dyDescent="0.2">
      <c r="B195" s="2"/>
      <c r="C195" s="2"/>
      <c r="G195" s="2"/>
      <c r="H195" s="2"/>
      <c r="I195" s="2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2:54" x14ac:dyDescent="0.2">
      <c r="B196" s="2"/>
      <c r="C196" s="2"/>
      <c r="G196" s="2"/>
      <c r="H196" s="2"/>
      <c r="I196" s="2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2:54" x14ac:dyDescent="0.2">
      <c r="B197" s="2"/>
      <c r="C197" s="2"/>
      <c r="G197" s="2"/>
      <c r="H197" s="2"/>
      <c r="I197" s="2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2:54" x14ac:dyDescent="0.2">
      <c r="B198" s="2"/>
      <c r="C198" s="2"/>
      <c r="G198" s="2"/>
      <c r="H198" s="2"/>
      <c r="I198" s="2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2:54" x14ac:dyDescent="0.2">
      <c r="B199" s="2"/>
      <c r="C199" s="2"/>
      <c r="G199" s="2"/>
      <c r="H199" s="2"/>
      <c r="I199" s="2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2:54" x14ac:dyDescent="0.2">
      <c r="B200" s="2"/>
      <c r="C200" s="2"/>
      <c r="G200" s="2"/>
      <c r="H200" s="2"/>
      <c r="I200" s="2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2:54" x14ac:dyDescent="0.2">
      <c r="B201" s="2"/>
      <c r="C201" s="2"/>
      <c r="G201" s="2"/>
      <c r="H201" s="2"/>
      <c r="I201" s="2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2:54" x14ac:dyDescent="0.2">
      <c r="B202" s="2"/>
      <c r="C202" s="2"/>
      <c r="G202" s="2"/>
      <c r="H202" s="2"/>
      <c r="I202" s="2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2:54" x14ac:dyDescent="0.2">
      <c r="B203" s="2"/>
      <c r="C203" s="2"/>
      <c r="G203" s="2"/>
      <c r="H203" s="2"/>
      <c r="I203" s="2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2:54" x14ac:dyDescent="0.2">
      <c r="B204" s="2"/>
      <c r="C204" s="2"/>
      <c r="G204" s="2"/>
      <c r="H204" s="2"/>
      <c r="I204" s="2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2:54" x14ac:dyDescent="0.2">
      <c r="B205" s="2"/>
      <c r="C205" s="2"/>
      <c r="G205" s="2"/>
      <c r="H205" s="2"/>
      <c r="I205" s="2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2:54" x14ac:dyDescent="0.2">
      <c r="B206" s="2"/>
      <c r="C206" s="2"/>
      <c r="G206" s="2"/>
      <c r="H206" s="2"/>
      <c r="I206" s="2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2:54" x14ac:dyDescent="0.2">
      <c r="B207" s="2"/>
      <c r="C207" s="2"/>
      <c r="G207" s="2"/>
      <c r="H207" s="2"/>
      <c r="I207" s="2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2:54" x14ac:dyDescent="0.2">
      <c r="B208" s="2"/>
      <c r="C208" s="2"/>
      <c r="G208" s="2"/>
      <c r="H208" s="2"/>
      <c r="I208" s="2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2:54" x14ac:dyDescent="0.2">
      <c r="B209" s="2"/>
      <c r="C209" s="2"/>
      <c r="G209" s="2"/>
      <c r="H209" s="2"/>
      <c r="I209" s="2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2:54" x14ac:dyDescent="0.2">
      <c r="B210" s="2"/>
      <c r="C210" s="2"/>
      <c r="G210" s="2"/>
      <c r="H210" s="2"/>
      <c r="I210" s="2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2:54" x14ac:dyDescent="0.2">
      <c r="B211" s="2"/>
      <c r="C211" s="2"/>
      <c r="G211" s="2"/>
      <c r="H211" s="2"/>
      <c r="I211" s="2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2:54" x14ac:dyDescent="0.2">
      <c r="B212" s="2"/>
      <c r="C212" s="2"/>
      <c r="G212" s="2"/>
      <c r="H212" s="2"/>
      <c r="I212" s="2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2:54" x14ac:dyDescent="0.2">
      <c r="B213" s="2"/>
      <c r="C213" s="2"/>
      <c r="G213" s="2"/>
      <c r="H213" s="2"/>
      <c r="I213" s="2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2:54" x14ac:dyDescent="0.2">
      <c r="B214" s="2"/>
      <c r="C214" s="2"/>
      <c r="G214" s="2"/>
      <c r="H214" s="2"/>
      <c r="I214" s="2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2:54" x14ac:dyDescent="0.2">
      <c r="B215" s="2"/>
      <c r="C215" s="2"/>
      <c r="G215" s="2"/>
      <c r="H215" s="2"/>
      <c r="I215" s="2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2:54" x14ac:dyDescent="0.2">
      <c r="B216" s="2"/>
      <c r="C216" s="2"/>
      <c r="G216" s="2"/>
      <c r="H216" s="2"/>
      <c r="I216" s="2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2:54" x14ac:dyDescent="0.2">
      <c r="B217" s="2"/>
      <c r="C217" s="2"/>
      <c r="G217" s="2"/>
      <c r="H217" s="2"/>
      <c r="I217" s="2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2:54" x14ac:dyDescent="0.2">
      <c r="B218" s="2"/>
      <c r="C218" s="2"/>
      <c r="G218" s="2"/>
      <c r="H218" s="2"/>
      <c r="I218" s="2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2:54" x14ac:dyDescent="0.2">
      <c r="B219" s="2"/>
      <c r="C219" s="2"/>
      <c r="G219" s="2"/>
      <c r="H219" s="2"/>
      <c r="I219" s="2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2:54" x14ac:dyDescent="0.2">
      <c r="B220" s="2"/>
      <c r="C220" s="2"/>
      <c r="G220" s="2"/>
      <c r="H220" s="2"/>
      <c r="I220" s="2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2:54" x14ac:dyDescent="0.2">
      <c r="B221" s="2"/>
      <c r="C221" s="2"/>
      <c r="G221" s="2"/>
      <c r="H221" s="2"/>
      <c r="I221" s="2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2:54" x14ac:dyDescent="0.2">
      <c r="B222" s="2"/>
      <c r="C222" s="2"/>
      <c r="G222" s="2"/>
      <c r="H222" s="2"/>
      <c r="I222" s="2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2:54" x14ac:dyDescent="0.2">
      <c r="B223" s="2"/>
      <c r="C223" s="2"/>
      <c r="G223" s="2"/>
      <c r="H223" s="2"/>
      <c r="I223" s="2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2:54" x14ac:dyDescent="0.2">
      <c r="B224" s="2"/>
      <c r="C224" s="2"/>
      <c r="G224" s="2"/>
      <c r="H224" s="2"/>
      <c r="I224" s="2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2:54" x14ac:dyDescent="0.2">
      <c r="B225" s="2"/>
      <c r="C225" s="2"/>
      <c r="G225" s="2"/>
      <c r="H225" s="2"/>
      <c r="I225" s="2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2:54" x14ac:dyDescent="0.2">
      <c r="B226" s="2"/>
      <c r="C226" s="2"/>
      <c r="G226" s="2"/>
      <c r="H226" s="2"/>
      <c r="I226" s="2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2:54" x14ac:dyDescent="0.2">
      <c r="B227" s="2"/>
      <c r="C227" s="2"/>
      <c r="G227" s="2"/>
      <c r="H227" s="2"/>
      <c r="I227" s="2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2:54" x14ac:dyDescent="0.2">
      <c r="B228" s="2"/>
      <c r="C228" s="2"/>
      <c r="G228" s="2"/>
      <c r="H228" s="2"/>
      <c r="I228" s="2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2:54" x14ac:dyDescent="0.2">
      <c r="B229" s="2"/>
      <c r="C229" s="2"/>
      <c r="G229" s="2"/>
      <c r="H229" s="2"/>
      <c r="I229" s="2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2:54" x14ac:dyDescent="0.2">
      <c r="B230" s="2"/>
      <c r="C230" s="2"/>
      <c r="G230" s="2"/>
      <c r="H230" s="2"/>
      <c r="I230" s="2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2:54" x14ac:dyDescent="0.2">
      <c r="B231" s="2"/>
      <c r="C231" s="2"/>
      <c r="G231" s="2"/>
      <c r="H231" s="2"/>
      <c r="I231" s="2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2:54" x14ac:dyDescent="0.2">
      <c r="B232" s="2"/>
      <c r="C232" s="2"/>
      <c r="G232" s="2"/>
      <c r="H232" s="2"/>
      <c r="I232" s="2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2:54" x14ac:dyDescent="0.2">
      <c r="B233" s="2"/>
      <c r="C233" s="2"/>
      <c r="G233" s="2"/>
      <c r="H233" s="2"/>
      <c r="I233" s="2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2:54" x14ac:dyDescent="0.2">
      <c r="B234" s="2"/>
      <c r="C234" s="2"/>
      <c r="G234" s="2"/>
      <c r="H234" s="2"/>
      <c r="I234" s="2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2:54" x14ac:dyDescent="0.2">
      <c r="B235" s="2"/>
      <c r="C235" s="2"/>
      <c r="G235" s="2"/>
      <c r="H235" s="2"/>
      <c r="I235" s="2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2:54" x14ac:dyDescent="0.2">
      <c r="B236" s="2"/>
      <c r="C236" s="2"/>
      <c r="G236" s="2"/>
      <c r="H236" s="2"/>
      <c r="I236" s="2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2:54" x14ac:dyDescent="0.2">
      <c r="B237" s="2"/>
      <c r="C237" s="2"/>
      <c r="G237" s="2"/>
      <c r="H237" s="2"/>
      <c r="I237" s="2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2:54" x14ac:dyDescent="0.2">
      <c r="B238" s="2"/>
      <c r="C238" s="2"/>
      <c r="G238" s="2"/>
      <c r="H238" s="2"/>
      <c r="I238" s="2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2:54" x14ac:dyDescent="0.2">
      <c r="B239" s="2"/>
      <c r="C239" s="2"/>
      <c r="G239" s="2"/>
      <c r="H239" s="2"/>
      <c r="I239" s="2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2:54" x14ac:dyDescent="0.2">
      <c r="B240" s="2"/>
      <c r="C240" s="2"/>
      <c r="G240" s="2"/>
      <c r="H240" s="2"/>
      <c r="I240" s="2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2:54" x14ac:dyDescent="0.2">
      <c r="B241" s="2"/>
      <c r="C241" s="2"/>
      <c r="G241" s="2"/>
      <c r="H241" s="2"/>
      <c r="I241" s="2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2:54" x14ac:dyDescent="0.2">
      <c r="B242" s="2"/>
      <c r="C242" s="2"/>
      <c r="G242" s="2"/>
      <c r="H242" s="2"/>
      <c r="I242" s="2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2:54" x14ac:dyDescent="0.2">
      <c r="B243" s="2"/>
      <c r="C243" s="2"/>
      <c r="G243" s="2"/>
      <c r="H243" s="2"/>
      <c r="I243" s="2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2:54" x14ac:dyDescent="0.2">
      <c r="B244" s="2"/>
      <c r="C244" s="2"/>
      <c r="G244" s="2"/>
      <c r="H244" s="2"/>
      <c r="I244" s="2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2:54" x14ac:dyDescent="0.2">
      <c r="B245" s="2"/>
      <c r="C245" s="2"/>
      <c r="G245" s="2"/>
      <c r="H245" s="2"/>
      <c r="I245" s="2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2:54" x14ac:dyDescent="0.2">
      <c r="B246" s="2"/>
      <c r="C246" s="2"/>
      <c r="G246" s="2"/>
      <c r="H246" s="2"/>
      <c r="I246" s="2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2:54" x14ac:dyDescent="0.2">
      <c r="B247" s="2"/>
      <c r="C247" s="2"/>
      <c r="G247" s="2"/>
      <c r="H247" s="2"/>
      <c r="I247" s="2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2:54" x14ac:dyDescent="0.2">
      <c r="B248" s="2"/>
      <c r="C248" s="2"/>
      <c r="G248" s="2"/>
      <c r="H248" s="2"/>
      <c r="I248" s="2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2:54" x14ac:dyDescent="0.2">
      <c r="B249" s="2"/>
      <c r="C249" s="2"/>
      <c r="G249" s="2"/>
      <c r="H249" s="2"/>
      <c r="I249" s="2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2:54" x14ac:dyDescent="0.2">
      <c r="B250" s="2"/>
      <c r="C250" s="2"/>
      <c r="G250" s="2"/>
      <c r="H250" s="2"/>
      <c r="I250" s="2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2:54" x14ac:dyDescent="0.2">
      <c r="B251" s="2"/>
      <c r="C251" s="2"/>
      <c r="G251" s="2"/>
      <c r="H251" s="2"/>
      <c r="I251" s="2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2:54" x14ac:dyDescent="0.2">
      <c r="B252" s="2"/>
      <c r="C252" s="2"/>
      <c r="G252" s="2"/>
      <c r="H252" s="2"/>
      <c r="I252" s="2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2:54" x14ac:dyDescent="0.2">
      <c r="B253" s="2"/>
      <c r="C253" s="2"/>
      <c r="G253" s="2"/>
      <c r="H253" s="2"/>
      <c r="I253" s="2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2:54" x14ac:dyDescent="0.2">
      <c r="B254" s="2"/>
      <c r="C254" s="2"/>
      <c r="G254" s="2"/>
      <c r="H254" s="2"/>
      <c r="I254" s="2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2:54" x14ac:dyDescent="0.2">
      <c r="B255" s="2"/>
      <c r="C255" s="2"/>
      <c r="G255" s="2"/>
      <c r="H255" s="2"/>
      <c r="I255" s="2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2:54" x14ac:dyDescent="0.2">
      <c r="B256" s="2"/>
      <c r="C256" s="2"/>
      <c r="G256" s="2"/>
      <c r="H256" s="2"/>
      <c r="I256" s="2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2:54" x14ac:dyDescent="0.2">
      <c r="B257" s="2"/>
      <c r="C257" s="2"/>
      <c r="G257" s="2"/>
      <c r="H257" s="2"/>
      <c r="I257" s="2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2:54" x14ac:dyDescent="0.2">
      <c r="B258" s="2"/>
      <c r="C258" s="2"/>
      <c r="G258" s="2"/>
      <c r="H258" s="2"/>
      <c r="I258" s="2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2:54" x14ac:dyDescent="0.2">
      <c r="B259" s="2"/>
      <c r="C259" s="2"/>
      <c r="G259" s="2"/>
      <c r="H259" s="2"/>
      <c r="I259" s="2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2:54" x14ac:dyDescent="0.2">
      <c r="B260" s="2"/>
      <c r="C260" s="2"/>
      <c r="G260" s="2"/>
      <c r="H260" s="2"/>
      <c r="I260" s="2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2:54" x14ac:dyDescent="0.2">
      <c r="B261" s="2"/>
      <c r="C261" s="2"/>
      <c r="G261" s="2"/>
      <c r="H261" s="2"/>
      <c r="I261" s="2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2:54" x14ac:dyDescent="0.2">
      <c r="B262" s="2"/>
      <c r="C262" s="2"/>
      <c r="G262" s="2"/>
      <c r="H262" s="2"/>
      <c r="I262" s="2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2:54" x14ac:dyDescent="0.2">
      <c r="B263" s="2"/>
      <c r="C263" s="2"/>
      <c r="G263" s="2"/>
      <c r="H263" s="2"/>
      <c r="I263" s="2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2:54" x14ac:dyDescent="0.2">
      <c r="B264" s="2"/>
      <c r="C264" s="2"/>
      <c r="G264" s="2"/>
      <c r="H264" s="2"/>
      <c r="I264" s="2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2:54" x14ac:dyDescent="0.2">
      <c r="B265" s="2"/>
      <c r="C265" s="2"/>
      <c r="G265" s="2"/>
      <c r="H265" s="2"/>
      <c r="I265" s="2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2:54" x14ac:dyDescent="0.2">
      <c r="B266" s="2"/>
      <c r="C266" s="2"/>
      <c r="G266" s="2"/>
      <c r="H266" s="2"/>
      <c r="I266" s="2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2:54" x14ac:dyDescent="0.2">
      <c r="B267" s="2"/>
      <c r="C267" s="2"/>
      <c r="G267" s="2"/>
      <c r="H267" s="2"/>
      <c r="I267" s="2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2:54" x14ac:dyDescent="0.2">
      <c r="B268" s="2"/>
      <c r="C268" s="2"/>
      <c r="G268" s="2"/>
      <c r="H268" s="2"/>
      <c r="I268" s="2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2:54" x14ac:dyDescent="0.2">
      <c r="B269" s="2"/>
      <c r="C269" s="2"/>
      <c r="G269" s="2"/>
      <c r="H269" s="2"/>
      <c r="I269" s="2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2:54" x14ac:dyDescent="0.2">
      <c r="B270" s="2"/>
      <c r="C270" s="2"/>
      <c r="G270" s="2"/>
      <c r="H270" s="2"/>
      <c r="I270" s="2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2:54" x14ac:dyDescent="0.2">
      <c r="B271" s="2"/>
      <c r="C271" s="2"/>
      <c r="G271" s="2"/>
      <c r="H271" s="2"/>
      <c r="I271" s="2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2:54" x14ac:dyDescent="0.2">
      <c r="B272" s="2"/>
      <c r="C272" s="2"/>
      <c r="G272" s="2"/>
      <c r="H272" s="2"/>
      <c r="I272" s="2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2:54" x14ac:dyDescent="0.2">
      <c r="B273" s="2"/>
      <c r="C273" s="2"/>
      <c r="G273" s="2"/>
      <c r="H273" s="2"/>
      <c r="I273" s="2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2:54" x14ac:dyDescent="0.2">
      <c r="B274" s="2"/>
      <c r="C274" s="2"/>
      <c r="G274" s="2"/>
      <c r="H274" s="2"/>
      <c r="I274" s="2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2:54" x14ac:dyDescent="0.2">
      <c r="B275" s="2"/>
      <c r="C275" s="2"/>
      <c r="G275" s="2"/>
      <c r="H275" s="2"/>
      <c r="I275" s="2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2:54" x14ac:dyDescent="0.2">
      <c r="B276" s="2"/>
      <c r="C276" s="2"/>
      <c r="G276" s="2"/>
      <c r="H276" s="2"/>
      <c r="I276" s="2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2:54" x14ac:dyDescent="0.2">
      <c r="B277" s="2"/>
      <c r="C277" s="2"/>
      <c r="G277" s="2"/>
      <c r="H277" s="2"/>
      <c r="I277" s="2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2:54" x14ac:dyDescent="0.2">
      <c r="B278" s="2"/>
      <c r="C278" s="2"/>
      <c r="G278" s="2"/>
      <c r="H278" s="2"/>
      <c r="I278" s="2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2:54" x14ac:dyDescent="0.2">
      <c r="B279" s="2"/>
      <c r="C279" s="2"/>
      <c r="G279" s="2"/>
      <c r="H279" s="2"/>
      <c r="I279" s="2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2:54" x14ac:dyDescent="0.2">
      <c r="B280" s="2"/>
      <c r="C280" s="2"/>
      <c r="G280" s="2"/>
      <c r="H280" s="2"/>
      <c r="I280" s="2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2:54" x14ac:dyDescent="0.2">
      <c r="B281" s="2"/>
      <c r="C281" s="2"/>
      <c r="G281" s="2"/>
      <c r="H281" s="2"/>
      <c r="I281" s="2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2:54" x14ac:dyDescent="0.2">
      <c r="B282" s="2"/>
      <c r="C282" s="2"/>
      <c r="G282" s="2"/>
      <c r="H282" s="2"/>
      <c r="I282" s="2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2:54" x14ac:dyDescent="0.2">
      <c r="B283" s="2"/>
      <c r="C283" s="2"/>
      <c r="G283" s="2"/>
      <c r="H283" s="2"/>
      <c r="I283" s="2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2:54" x14ac:dyDescent="0.2">
      <c r="B284" s="2"/>
      <c r="C284" s="2"/>
      <c r="G284" s="2"/>
      <c r="H284" s="2"/>
      <c r="I284" s="2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2:54" x14ac:dyDescent="0.2">
      <c r="B285" s="2"/>
      <c r="C285" s="2"/>
      <c r="G285" s="2"/>
      <c r="H285" s="2"/>
      <c r="I285" s="2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2:54" x14ac:dyDescent="0.2">
      <c r="B286" s="2"/>
      <c r="C286" s="2"/>
      <c r="G286" s="2"/>
      <c r="H286" s="2"/>
      <c r="I286" s="2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2:54" x14ac:dyDescent="0.2">
      <c r="B287" s="2"/>
      <c r="C287" s="2"/>
      <c r="G287" s="2"/>
      <c r="H287" s="2"/>
      <c r="I287" s="2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2:54" x14ac:dyDescent="0.2">
      <c r="B288" s="2"/>
      <c r="C288" s="2"/>
      <c r="G288" s="2"/>
      <c r="H288" s="2"/>
      <c r="I288" s="2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2:54" x14ac:dyDescent="0.2">
      <c r="B289" s="2"/>
      <c r="C289" s="2"/>
      <c r="G289" s="2"/>
      <c r="H289" s="2"/>
      <c r="I289" s="2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2:54" x14ac:dyDescent="0.2">
      <c r="B290" s="2"/>
      <c r="C290" s="2"/>
      <c r="G290" s="2"/>
      <c r="H290" s="2"/>
      <c r="I290" s="2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2:54" x14ac:dyDescent="0.2">
      <c r="B291" s="2"/>
      <c r="C291" s="2"/>
      <c r="G291" s="2"/>
      <c r="H291" s="2"/>
      <c r="I291" s="2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2:54" x14ac:dyDescent="0.2">
      <c r="B292" s="2"/>
      <c r="C292" s="2"/>
      <c r="G292" s="2"/>
      <c r="H292" s="2"/>
      <c r="I292" s="2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2:54" x14ac:dyDescent="0.2">
      <c r="B293" s="2"/>
      <c r="C293" s="2"/>
      <c r="G293" s="2"/>
      <c r="H293" s="2"/>
      <c r="I293" s="2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2:54" x14ac:dyDescent="0.2">
      <c r="B294" s="2"/>
      <c r="C294" s="2"/>
      <c r="G294" s="2"/>
      <c r="H294" s="2"/>
      <c r="I294" s="2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2:54" x14ac:dyDescent="0.2">
      <c r="B295" s="2"/>
      <c r="C295" s="2"/>
      <c r="G295" s="2"/>
      <c r="H295" s="2"/>
      <c r="I295" s="2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2:54" x14ac:dyDescent="0.2">
      <c r="B296" s="2"/>
      <c r="C296" s="2"/>
      <c r="G296" s="2"/>
      <c r="H296" s="2"/>
      <c r="I296" s="2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2:54" x14ac:dyDescent="0.2">
      <c r="B297" s="2"/>
      <c r="C297" s="2"/>
      <c r="G297" s="2"/>
      <c r="H297" s="2"/>
      <c r="I297" s="2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2:54" x14ac:dyDescent="0.2">
      <c r="B298" s="2"/>
      <c r="C298" s="2"/>
      <c r="G298" s="2"/>
      <c r="H298" s="2"/>
      <c r="I298" s="2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2:54" x14ac:dyDescent="0.2">
      <c r="B299" s="2"/>
      <c r="C299" s="2"/>
      <c r="G299" s="2"/>
      <c r="H299" s="2"/>
      <c r="I299" s="2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2:54" x14ac:dyDescent="0.2">
      <c r="B300" s="2"/>
      <c r="C300" s="2"/>
      <c r="G300" s="2"/>
      <c r="H300" s="2"/>
      <c r="I300" s="2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2:54" x14ac:dyDescent="0.2">
      <c r="B301" s="2"/>
      <c r="C301" s="2"/>
      <c r="G301" s="2"/>
      <c r="H301" s="2"/>
      <c r="I301" s="2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2:54" x14ac:dyDescent="0.2">
      <c r="B302" s="2"/>
      <c r="C302" s="2"/>
      <c r="G302" s="2"/>
      <c r="H302" s="2"/>
      <c r="I302" s="2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2:54" x14ac:dyDescent="0.2">
      <c r="B303" s="2"/>
      <c r="C303" s="2"/>
      <c r="G303" s="2"/>
      <c r="H303" s="2"/>
      <c r="I303" s="2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2:54" x14ac:dyDescent="0.2">
      <c r="B304" s="2"/>
      <c r="C304" s="2"/>
      <c r="G304" s="2"/>
      <c r="H304" s="2"/>
      <c r="I304" s="2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2:54" x14ac:dyDescent="0.2">
      <c r="B305" s="2"/>
      <c r="C305" s="2"/>
      <c r="G305" s="2"/>
      <c r="H305" s="2"/>
      <c r="I305" s="2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2:54" x14ac:dyDescent="0.2">
      <c r="B306" s="2"/>
      <c r="C306" s="2"/>
      <c r="G306" s="2"/>
      <c r="H306" s="2"/>
      <c r="I306" s="2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2:54" x14ac:dyDescent="0.2">
      <c r="B307" s="2"/>
      <c r="C307" s="2"/>
      <c r="G307" s="2"/>
      <c r="H307" s="2"/>
      <c r="I307" s="2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2:54" x14ac:dyDescent="0.2">
      <c r="B308" s="2"/>
      <c r="C308" s="2"/>
      <c r="G308" s="2"/>
      <c r="H308" s="2"/>
      <c r="I308" s="2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2:54" x14ac:dyDescent="0.2">
      <c r="B309" s="2"/>
      <c r="C309" s="2"/>
      <c r="G309" s="2"/>
      <c r="H309" s="2"/>
      <c r="I309" s="2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2:54" x14ac:dyDescent="0.2">
      <c r="B310" s="2"/>
      <c r="C310" s="2"/>
      <c r="G310" s="2"/>
      <c r="H310" s="2"/>
      <c r="I310" s="2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2:54" x14ac:dyDescent="0.2">
      <c r="B311" s="2"/>
      <c r="C311" s="2"/>
      <c r="G311" s="2"/>
      <c r="H311" s="2"/>
      <c r="I311" s="2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2:54" x14ac:dyDescent="0.2">
      <c r="B312" s="2"/>
      <c r="C312" s="2"/>
      <c r="G312" s="2"/>
      <c r="H312" s="2"/>
      <c r="I312" s="2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2:54" x14ac:dyDescent="0.2">
      <c r="B313" s="2"/>
      <c r="C313" s="2"/>
      <c r="G313" s="2"/>
      <c r="H313" s="2"/>
      <c r="I313" s="2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2:54" x14ac:dyDescent="0.2">
      <c r="B314" s="2"/>
      <c r="C314" s="2"/>
      <c r="G314" s="2"/>
      <c r="H314" s="2"/>
      <c r="I314" s="2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2:54" x14ac:dyDescent="0.2">
      <c r="B315" s="2"/>
      <c r="C315" s="2"/>
      <c r="G315" s="2"/>
      <c r="H315" s="2"/>
      <c r="I315" s="2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2:54" x14ac:dyDescent="0.2">
      <c r="B316" s="2"/>
      <c r="C316" s="2"/>
      <c r="G316" s="2"/>
      <c r="H316" s="2"/>
      <c r="I316" s="2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2:54" x14ac:dyDescent="0.2">
      <c r="B317" s="2"/>
      <c r="C317" s="2"/>
      <c r="G317" s="2"/>
      <c r="H317" s="2"/>
      <c r="I317" s="2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2:54" x14ac:dyDescent="0.2">
      <c r="B318" s="2"/>
      <c r="C318" s="2"/>
      <c r="G318" s="2"/>
      <c r="H318" s="2"/>
      <c r="I318" s="2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2:54" x14ac:dyDescent="0.2">
      <c r="B319" s="2"/>
      <c r="C319" s="2"/>
      <c r="G319" s="2"/>
      <c r="H319" s="2"/>
      <c r="I319" s="2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2:54" x14ac:dyDescent="0.2">
      <c r="B320" s="2"/>
      <c r="C320" s="2"/>
      <c r="G320" s="2"/>
      <c r="H320" s="2"/>
      <c r="I320" s="2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2:54" x14ac:dyDescent="0.2">
      <c r="B321" s="2"/>
      <c r="C321" s="2"/>
      <c r="G321" s="2"/>
      <c r="H321" s="2"/>
      <c r="I321" s="2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2:54" x14ac:dyDescent="0.2">
      <c r="B322" s="2"/>
      <c r="C322" s="2"/>
      <c r="G322" s="2"/>
      <c r="H322" s="2"/>
      <c r="I322" s="2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2:54" x14ac:dyDescent="0.2">
      <c r="B323" s="2"/>
      <c r="C323" s="2"/>
      <c r="G323" s="2"/>
      <c r="H323" s="2"/>
      <c r="I323" s="2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2:54" x14ac:dyDescent="0.2">
      <c r="B324" s="2"/>
      <c r="C324" s="2"/>
      <c r="G324" s="2"/>
      <c r="H324" s="2"/>
      <c r="I324" s="2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2:54" x14ac:dyDescent="0.2">
      <c r="B325" s="2"/>
      <c r="C325" s="2"/>
      <c r="G325" s="2"/>
      <c r="H325" s="2"/>
      <c r="I325" s="2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2:54" x14ac:dyDescent="0.2">
      <c r="B326" s="2"/>
      <c r="C326" s="2"/>
      <c r="G326" s="2"/>
      <c r="H326" s="2"/>
      <c r="I326" s="2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2:54" x14ac:dyDescent="0.2">
      <c r="B327" s="2"/>
      <c r="C327" s="2"/>
      <c r="G327" s="2"/>
      <c r="H327" s="2"/>
      <c r="I327" s="2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2:54" x14ac:dyDescent="0.2">
      <c r="B328" s="2"/>
      <c r="C328" s="2"/>
      <c r="G328" s="2"/>
      <c r="H328" s="2"/>
      <c r="I328" s="2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2:54" x14ac:dyDescent="0.2">
      <c r="B329" s="2"/>
      <c r="C329" s="2"/>
      <c r="G329" s="2"/>
      <c r="H329" s="2"/>
      <c r="I329" s="2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2:54" x14ac:dyDescent="0.2">
      <c r="B330" s="2"/>
      <c r="C330" s="2"/>
      <c r="G330" s="2"/>
      <c r="H330" s="2"/>
      <c r="I330" s="2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2:54" x14ac:dyDescent="0.2">
      <c r="B331" s="2"/>
      <c r="C331" s="2"/>
      <c r="G331" s="2"/>
      <c r="H331" s="2"/>
      <c r="I331" s="2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2:54" x14ac:dyDescent="0.2">
      <c r="B332" s="2"/>
      <c r="C332" s="2"/>
      <c r="G332" s="2"/>
      <c r="H332" s="2"/>
      <c r="I332" s="2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2:54" x14ac:dyDescent="0.2">
      <c r="B333" s="2"/>
      <c r="C333" s="2"/>
      <c r="G333" s="2"/>
      <c r="H333" s="2"/>
      <c r="I333" s="2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2:54" x14ac:dyDescent="0.2">
      <c r="B334" s="2"/>
      <c r="C334" s="2"/>
      <c r="G334" s="2"/>
      <c r="H334" s="2"/>
      <c r="I334" s="2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2:54" x14ac:dyDescent="0.2">
      <c r="B335" s="2"/>
      <c r="C335" s="2"/>
      <c r="G335" s="2"/>
      <c r="H335" s="2"/>
      <c r="I335" s="2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2:54" x14ac:dyDescent="0.2">
      <c r="B336" s="2"/>
      <c r="C336" s="2"/>
      <c r="G336" s="2"/>
      <c r="H336" s="2"/>
      <c r="I336" s="2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2:54" x14ac:dyDescent="0.2">
      <c r="B337" s="2"/>
      <c r="C337" s="2"/>
      <c r="G337" s="2"/>
      <c r="H337" s="2"/>
      <c r="I337" s="2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2:54" x14ac:dyDescent="0.2">
      <c r="B338" s="2"/>
      <c r="C338" s="2"/>
      <c r="G338" s="2"/>
      <c r="H338" s="2"/>
      <c r="I338" s="2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2:54" x14ac:dyDescent="0.2">
      <c r="B339" s="2"/>
      <c r="C339" s="2"/>
      <c r="G339" s="2"/>
      <c r="H339" s="2"/>
      <c r="I339" s="2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2:54" x14ac:dyDescent="0.2">
      <c r="B340" s="2"/>
      <c r="C340" s="2"/>
      <c r="G340" s="2"/>
      <c r="H340" s="2"/>
      <c r="I340" s="2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2:54" x14ac:dyDescent="0.2">
      <c r="B341" s="2"/>
      <c r="C341" s="2"/>
      <c r="G341" s="2"/>
      <c r="H341" s="2"/>
      <c r="I341" s="2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2:54" x14ac:dyDescent="0.2">
      <c r="B342" s="2"/>
      <c r="C342" s="2"/>
      <c r="G342" s="2"/>
      <c r="H342" s="2"/>
      <c r="I342" s="2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2:54" x14ac:dyDescent="0.2">
      <c r="B343" s="2"/>
      <c r="C343" s="2"/>
      <c r="G343" s="2"/>
      <c r="H343" s="2"/>
      <c r="I343" s="2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2:54" x14ac:dyDescent="0.2">
      <c r="B344" s="2"/>
      <c r="C344" s="2"/>
      <c r="G344" s="2"/>
      <c r="H344" s="2"/>
      <c r="I344" s="2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2:54" x14ac:dyDescent="0.2">
      <c r="B345" s="2"/>
      <c r="C345" s="2"/>
      <c r="G345" s="2"/>
      <c r="H345" s="2"/>
      <c r="I345" s="2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2:54" x14ac:dyDescent="0.2">
      <c r="B346" s="2"/>
      <c r="C346" s="2"/>
      <c r="G346" s="2"/>
      <c r="H346" s="2"/>
      <c r="I346" s="2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2:54" x14ac:dyDescent="0.2">
      <c r="B347" s="2"/>
      <c r="C347" s="2"/>
      <c r="G347" s="2"/>
      <c r="H347" s="2"/>
      <c r="I347" s="2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2:54" x14ac:dyDescent="0.2">
      <c r="B348" s="2"/>
      <c r="C348" s="2"/>
      <c r="G348" s="2"/>
      <c r="H348" s="2"/>
      <c r="I348" s="2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2:54" x14ac:dyDescent="0.2">
      <c r="B349" s="2"/>
      <c r="C349" s="2"/>
      <c r="G349" s="2"/>
      <c r="H349" s="2"/>
      <c r="I349" s="2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2:54" x14ac:dyDescent="0.2">
      <c r="B350" s="2"/>
      <c r="C350" s="2"/>
      <c r="G350" s="2"/>
      <c r="H350" s="2"/>
      <c r="I350" s="2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2:54" x14ac:dyDescent="0.2">
      <c r="B351" s="2"/>
      <c r="C351" s="2"/>
      <c r="G351" s="2"/>
      <c r="H351" s="2"/>
      <c r="I351" s="2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2:54" x14ac:dyDescent="0.2">
      <c r="B352" s="2"/>
      <c r="C352" s="2"/>
      <c r="G352" s="2"/>
      <c r="H352" s="2"/>
      <c r="I352" s="2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2:54" x14ac:dyDescent="0.2">
      <c r="B353" s="2"/>
      <c r="C353" s="2"/>
      <c r="G353" s="2"/>
      <c r="H353" s="2"/>
      <c r="I353" s="2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2:54" x14ac:dyDescent="0.2">
      <c r="B354" s="2"/>
      <c r="C354" s="2"/>
      <c r="G354" s="2"/>
      <c r="H354" s="2"/>
      <c r="I354" s="2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2:54" x14ac:dyDescent="0.2">
      <c r="B355" s="2"/>
      <c r="C355" s="2"/>
      <c r="G355" s="2"/>
      <c r="H355" s="2"/>
      <c r="I355" s="2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2:54" x14ac:dyDescent="0.2">
      <c r="B356" s="2"/>
      <c r="C356" s="2"/>
      <c r="G356" s="2"/>
      <c r="H356" s="2"/>
      <c r="I356" s="2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2:54" x14ac:dyDescent="0.2">
      <c r="B357" s="2"/>
      <c r="C357" s="2"/>
      <c r="G357" s="2"/>
      <c r="H357" s="2"/>
      <c r="I357" s="2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2:54" x14ac:dyDescent="0.2">
      <c r="B358" s="2"/>
      <c r="C358" s="2"/>
      <c r="G358" s="2"/>
      <c r="H358" s="2"/>
      <c r="I358" s="2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2:54" x14ac:dyDescent="0.2">
      <c r="B359" s="2"/>
      <c r="C359" s="2"/>
      <c r="G359" s="2"/>
      <c r="H359" s="2"/>
      <c r="I359" s="2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2:54" x14ac:dyDescent="0.2">
      <c r="B360" s="2"/>
      <c r="C360" s="2"/>
      <c r="G360" s="2"/>
      <c r="H360" s="2"/>
      <c r="I360" s="2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2:54" x14ac:dyDescent="0.2">
      <c r="B361" s="2"/>
      <c r="C361" s="2"/>
      <c r="G361" s="2"/>
      <c r="H361" s="2"/>
      <c r="I361" s="2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2:54" x14ac:dyDescent="0.2">
      <c r="B362" s="2"/>
      <c r="C362" s="2"/>
      <c r="G362" s="2"/>
      <c r="H362" s="2"/>
      <c r="I362" s="2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2:54" x14ac:dyDescent="0.2">
      <c r="B363" s="2"/>
      <c r="C363" s="2"/>
      <c r="G363" s="2"/>
      <c r="H363" s="2"/>
      <c r="I363" s="2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2:54" x14ac:dyDescent="0.2">
      <c r="B364" s="2"/>
      <c r="C364" s="2"/>
      <c r="G364" s="2"/>
      <c r="H364" s="2"/>
      <c r="I364" s="2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2:54" x14ac:dyDescent="0.2">
      <c r="B365" s="2"/>
      <c r="C365" s="2"/>
      <c r="G365" s="2"/>
      <c r="H365" s="2"/>
      <c r="I365" s="2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2:54" x14ac:dyDescent="0.2">
      <c r="B366" s="2"/>
      <c r="C366" s="2"/>
      <c r="G366" s="2"/>
      <c r="H366" s="2"/>
      <c r="I366" s="2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2:54" x14ac:dyDescent="0.2">
      <c r="B367" s="2"/>
      <c r="C367" s="2"/>
      <c r="G367" s="2"/>
      <c r="H367" s="2"/>
      <c r="I367" s="2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2:54" x14ac:dyDescent="0.2">
      <c r="B368" s="2"/>
      <c r="C368" s="2"/>
      <c r="G368" s="2"/>
      <c r="H368" s="2"/>
      <c r="I368" s="2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2:54" x14ac:dyDescent="0.2">
      <c r="B369" s="2"/>
      <c r="C369" s="2"/>
      <c r="G369" s="2"/>
      <c r="H369" s="2"/>
      <c r="I369" s="2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2:54" x14ac:dyDescent="0.2">
      <c r="B370" s="2"/>
      <c r="C370" s="2"/>
      <c r="G370" s="2"/>
      <c r="H370" s="2"/>
      <c r="I370" s="2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2:54" x14ac:dyDescent="0.2">
      <c r="B371" s="2"/>
      <c r="C371" s="2"/>
      <c r="G371" s="2"/>
      <c r="H371" s="2"/>
      <c r="I371" s="2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2:54" x14ac:dyDescent="0.2">
      <c r="B372" s="2"/>
      <c r="C372" s="2"/>
      <c r="G372" s="2"/>
      <c r="H372" s="2"/>
      <c r="I372" s="2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2:54" x14ac:dyDescent="0.2">
      <c r="B373" s="2"/>
      <c r="C373" s="2"/>
      <c r="G373" s="2"/>
      <c r="H373" s="2"/>
      <c r="I373" s="2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2:54" x14ac:dyDescent="0.2">
      <c r="B374" s="2"/>
      <c r="C374" s="2"/>
      <c r="G374" s="2"/>
      <c r="H374" s="2"/>
      <c r="I374" s="2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2:54" x14ac:dyDescent="0.2">
      <c r="B375" s="2"/>
      <c r="C375" s="2"/>
      <c r="G375" s="2"/>
      <c r="H375" s="2"/>
      <c r="I375" s="2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2:54" x14ac:dyDescent="0.2">
      <c r="B376" s="2"/>
      <c r="C376" s="2"/>
      <c r="G376" s="2"/>
      <c r="H376" s="2"/>
      <c r="I376" s="2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2:54" x14ac:dyDescent="0.2">
      <c r="B377" s="2"/>
      <c r="C377" s="2"/>
      <c r="G377" s="2"/>
      <c r="H377" s="2"/>
      <c r="I377" s="2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2:54" x14ac:dyDescent="0.2">
      <c r="B378" s="2"/>
      <c r="C378" s="2"/>
      <c r="G378" s="2"/>
      <c r="H378" s="2"/>
      <c r="I378" s="2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2:54" x14ac:dyDescent="0.2">
      <c r="B379" s="2"/>
      <c r="C379" s="2"/>
      <c r="G379" s="2"/>
      <c r="H379" s="2"/>
      <c r="I379" s="2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2:54" x14ac:dyDescent="0.2">
      <c r="B380" s="2"/>
      <c r="C380" s="2"/>
      <c r="G380" s="2"/>
      <c r="H380" s="2"/>
      <c r="I380" s="2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2:54" x14ac:dyDescent="0.2">
      <c r="B381" s="2"/>
      <c r="C381" s="2"/>
      <c r="G381" s="2"/>
      <c r="H381" s="2"/>
      <c r="I381" s="2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2:54" x14ac:dyDescent="0.2">
      <c r="B382" s="2"/>
      <c r="C382" s="2"/>
      <c r="G382" s="2"/>
      <c r="H382" s="2"/>
      <c r="I382" s="2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2:54" x14ac:dyDescent="0.2">
      <c r="B383" s="2"/>
      <c r="C383" s="2"/>
      <c r="G383" s="2"/>
      <c r="H383" s="2"/>
      <c r="I383" s="2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2:54" x14ac:dyDescent="0.2">
      <c r="B384" s="2"/>
      <c r="C384" s="2"/>
      <c r="G384" s="2"/>
      <c r="H384" s="2"/>
      <c r="I384" s="2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2:54" x14ac:dyDescent="0.2">
      <c r="B385" s="2"/>
      <c r="C385" s="2"/>
      <c r="G385" s="2"/>
      <c r="H385" s="2"/>
      <c r="I385" s="2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2:54" x14ac:dyDescent="0.2">
      <c r="B386" s="2"/>
      <c r="C386" s="2"/>
      <c r="G386" s="2"/>
      <c r="H386" s="2"/>
      <c r="I386" s="2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2:54" x14ac:dyDescent="0.2">
      <c r="B387" s="2"/>
      <c r="C387" s="2"/>
      <c r="G387" s="2"/>
      <c r="H387" s="2"/>
      <c r="I387" s="2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2:54" x14ac:dyDescent="0.2">
      <c r="B388" s="2"/>
      <c r="C388" s="2"/>
      <c r="G388" s="2"/>
      <c r="H388" s="2"/>
      <c r="I388" s="2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2:54" x14ac:dyDescent="0.2">
      <c r="B389" s="2"/>
      <c r="C389" s="2"/>
      <c r="G389" s="2"/>
      <c r="H389" s="2"/>
      <c r="I389" s="2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2:54" x14ac:dyDescent="0.2">
      <c r="B390" s="2"/>
      <c r="C390" s="2"/>
      <c r="G390" s="2"/>
      <c r="H390" s="2"/>
      <c r="I390" s="2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2:54" x14ac:dyDescent="0.2">
      <c r="B391" s="2"/>
      <c r="C391" s="2"/>
      <c r="G391" s="2"/>
      <c r="H391" s="2"/>
      <c r="I391" s="2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2:54" x14ac:dyDescent="0.2">
      <c r="B392" s="2"/>
      <c r="C392" s="2"/>
      <c r="G392" s="2"/>
      <c r="H392" s="2"/>
      <c r="I392" s="2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2:54" x14ac:dyDescent="0.2">
      <c r="B393" s="2"/>
      <c r="C393" s="2"/>
      <c r="G393" s="2"/>
      <c r="H393" s="2"/>
      <c r="I393" s="2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2:54" x14ac:dyDescent="0.2">
      <c r="B394" s="2"/>
      <c r="C394" s="2"/>
      <c r="G394" s="2"/>
      <c r="H394" s="2"/>
      <c r="I394" s="2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2:54" x14ac:dyDescent="0.2">
      <c r="B395" s="2"/>
      <c r="C395" s="2"/>
      <c r="G395" s="2"/>
      <c r="H395" s="2"/>
      <c r="I395" s="2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2:54" x14ac:dyDescent="0.2">
      <c r="B396" s="2"/>
      <c r="C396" s="2"/>
      <c r="G396" s="2"/>
      <c r="H396" s="2"/>
      <c r="I396" s="2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2:54" x14ac:dyDescent="0.2">
      <c r="B397" s="2"/>
      <c r="C397" s="2"/>
      <c r="G397" s="2"/>
      <c r="H397" s="2"/>
      <c r="I397" s="2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2:54" x14ac:dyDescent="0.2">
      <c r="B398" s="2"/>
      <c r="C398" s="2"/>
      <c r="G398" s="2"/>
      <c r="H398" s="2"/>
      <c r="I398" s="2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2:54" x14ac:dyDescent="0.2">
      <c r="B399" s="2"/>
      <c r="C399" s="2"/>
      <c r="G399" s="2"/>
      <c r="H399" s="2"/>
      <c r="I399" s="2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2:54" x14ac:dyDescent="0.2">
      <c r="B400" s="2"/>
      <c r="C400" s="2"/>
      <c r="G400" s="2"/>
      <c r="H400" s="2"/>
      <c r="I400" s="2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2:54" x14ac:dyDescent="0.2">
      <c r="B401" s="2"/>
      <c r="C401" s="2"/>
      <c r="G401" s="2"/>
      <c r="H401" s="2"/>
      <c r="I401" s="2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2:54" x14ac:dyDescent="0.2">
      <c r="B402" s="2"/>
      <c r="C402" s="2"/>
      <c r="G402" s="2"/>
      <c r="H402" s="2"/>
      <c r="I402" s="2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2:54" x14ac:dyDescent="0.2">
      <c r="B403" s="2"/>
      <c r="C403" s="2"/>
      <c r="G403" s="2"/>
      <c r="H403" s="2"/>
      <c r="I403" s="2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2:54" x14ac:dyDescent="0.2">
      <c r="B404" s="2"/>
      <c r="C404" s="2"/>
      <c r="G404" s="2"/>
      <c r="H404" s="2"/>
      <c r="I404" s="2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2:54" x14ac:dyDescent="0.2">
      <c r="B405" s="2"/>
      <c r="C405" s="2"/>
      <c r="G405" s="2"/>
      <c r="H405" s="2"/>
      <c r="I405" s="2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2:54" x14ac:dyDescent="0.2">
      <c r="B406" s="2"/>
      <c r="C406" s="2"/>
      <c r="G406" s="2"/>
      <c r="H406" s="2"/>
      <c r="I406" s="2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2:54" x14ac:dyDescent="0.2">
      <c r="B407" s="2"/>
      <c r="C407" s="2"/>
      <c r="G407" s="2"/>
      <c r="H407" s="2"/>
      <c r="I407" s="2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2:54" x14ac:dyDescent="0.2">
      <c r="B408" s="2"/>
      <c r="C408" s="2"/>
      <c r="G408" s="2"/>
      <c r="H408" s="2"/>
      <c r="I408" s="2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2:54" x14ac:dyDescent="0.2">
      <c r="B409" s="2"/>
      <c r="C409" s="2"/>
      <c r="G409" s="2"/>
      <c r="H409" s="2"/>
      <c r="I409" s="2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2:54" x14ac:dyDescent="0.2">
      <c r="B410" s="2"/>
      <c r="C410" s="2"/>
      <c r="G410" s="2"/>
      <c r="H410" s="2"/>
      <c r="I410" s="2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2:54" x14ac:dyDescent="0.2">
      <c r="B411" s="2"/>
      <c r="C411" s="2"/>
      <c r="G411" s="2"/>
      <c r="H411" s="2"/>
      <c r="I411" s="2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2:54" x14ac:dyDescent="0.2">
      <c r="B412" s="2"/>
      <c r="C412" s="2"/>
      <c r="G412" s="2"/>
      <c r="H412" s="2"/>
      <c r="I412" s="2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2:54" x14ac:dyDescent="0.2">
      <c r="B413" s="2"/>
      <c r="C413" s="2"/>
      <c r="G413" s="2"/>
      <c r="H413" s="2"/>
      <c r="I413" s="2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2:54" x14ac:dyDescent="0.2">
      <c r="B414" s="2"/>
      <c r="C414" s="2"/>
      <c r="G414" s="2"/>
      <c r="H414" s="2"/>
      <c r="I414" s="2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2:54" x14ac:dyDescent="0.2">
      <c r="B415" s="2"/>
      <c r="C415" s="2"/>
      <c r="G415" s="2"/>
      <c r="H415" s="2"/>
      <c r="I415" s="2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2:54" x14ac:dyDescent="0.2">
      <c r="B416" s="2"/>
      <c r="C416" s="2"/>
      <c r="G416" s="2"/>
      <c r="H416" s="2"/>
      <c r="I416" s="2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2:54" x14ac:dyDescent="0.2">
      <c r="B417" s="2"/>
      <c r="C417" s="2"/>
      <c r="G417" s="2"/>
      <c r="H417" s="2"/>
      <c r="I417" s="2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2:54" x14ac:dyDescent="0.2">
      <c r="B418" s="2"/>
      <c r="C418" s="2"/>
      <c r="G418" s="2"/>
      <c r="H418" s="2"/>
      <c r="I418" s="2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2:54" x14ac:dyDescent="0.2">
      <c r="B419" s="2"/>
      <c r="C419" s="2"/>
      <c r="G419" s="2"/>
      <c r="H419" s="2"/>
      <c r="I419" s="2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2:54" x14ac:dyDescent="0.2">
      <c r="B420" s="2"/>
      <c r="C420" s="2"/>
      <c r="G420" s="2"/>
      <c r="H420" s="2"/>
      <c r="I420" s="2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2:54" x14ac:dyDescent="0.2">
      <c r="B421" s="2"/>
      <c r="C421" s="2"/>
      <c r="G421" s="2"/>
      <c r="H421" s="2"/>
      <c r="I421" s="2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2:54" x14ac:dyDescent="0.2">
      <c r="B422" s="2"/>
      <c r="C422" s="2"/>
      <c r="G422" s="2"/>
      <c r="H422" s="2"/>
      <c r="I422" s="2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2:54" x14ac:dyDescent="0.2">
      <c r="B423" s="2"/>
      <c r="C423" s="2"/>
      <c r="G423" s="2"/>
      <c r="H423" s="2"/>
      <c r="I423" s="2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2:54" x14ac:dyDescent="0.2">
      <c r="B424" s="2"/>
      <c r="C424" s="2"/>
      <c r="G424" s="2"/>
      <c r="H424" s="2"/>
      <c r="I424" s="2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2:54" x14ac:dyDescent="0.2">
      <c r="B425" s="2"/>
      <c r="C425" s="2"/>
      <c r="G425" s="2"/>
      <c r="H425" s="2"/>
      <c r="I425" s="2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2:54" x14ac:dyDescent="0.2">
      <c r="B426" s="2"/>
      <c r="C426" s="2"/>
      <c r="G426" s="2"/>
      <c r="H426" s="2"/>
      <c r="I426" s="2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2:54" x14ac:dyDescent="0.2">
      <c r="B427" s="2"/>
      <c r="C427" s="2"/>
      <c r="G427" s="2"/>
      <c r="H427" s="2"/>
      <c r="I427" s="2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2:54" x14ac:dyDescent="0.2">
      <c r="B428" s="2"/>
      <c r="C428" s="2"/>
      <c r="G428" s="2"/>
      <c r="H428" s="2"/>
      <c r="I428" s="2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2:54" x14ac:dyDescent="0.2">
      <c r="B429" s="2"/>
      <c r="C429" s="2"/>
      <c r="G429" s="2"/>
      <c r="H429" s="2"/>
      <c r="I429" s="2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2:54" x14ac:dyDescent="0.2">
      <c r="B430" s="2"/>
      <c r="C430" s="2"/>
      <c r="G430" s="2"/>
      <c r="H430" s="2"/>
      <c r="I430" s="2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2:54" x14ac:dyDescent="0.2">
      <c r="B431" s="2"/>
      <c r="C431" s="2"/>
      <c r="G431" s="2"/>
      <c r="H431" s="2"/>
      <c r="I431" s="2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2:54" x14ac:dyDescent="0.2">
      <c r="B432" s="2"/>
      <c r="C432" s="2"/>
      <c r="G432" s="2"/>
      <c r="H432" s="2"/>
      <c r="I432" s="2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2:54" x14ac:dyDescent="0.2">
      <c r="B433" s="2"/>
      <c r="C433" s="2"/>
      <c r="G433" s="2"/>
      <c r="H433" s="2"/>
      <c r="I433" s="2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2:54" x14ac:dyDescent="0.2">
      <c r="B434" s="2"/>
      <c r="C434" s="2"/>
      <c r="G434" s="2"/>
      <c r="H434" s="2"/>
      <c r="I434" s="2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2:54" x14ac:dyDescent="0.2">
      <c r="B435" s="2"/>
      <c r="C435" s="2"/>
      <c r="G435" s="2"/>
      <c r="H435" s="2"/>
      <c r="I435" s="2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2:54" x14ac:dyDescent="0.2">
      <c r="B436" s="2"/>
      <c r="C436" s="2"/>
      <c r="G436" s="2"/>
      <c r="H436" s="2"/>
      <c r="I436" s="2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2:54" x14ac:dyDescent="0.2">
      <c r="B437" s="2"/>
      <c r="C437" s="2"/>
      <c r="G437" s="2"/>
      <c r="H437" s="2"/>
      <c r="I437" s="2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2:54" x14ac:dyDescent="0.2">
      <c r="B438" s="2"/>
      <c r="C438" s="2"/>
      <c r="G438" s="2"/>
      <c r="H438" s="2"/>
      <c r="I438" s="2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2:54" x14ac:dyDescent="0.2">
      <c r="B439" s="2"/>
      <c r="C439" s="2"/>
      <c r="G439" s="2"/>
      <c r="H439" s="2"/>
      <c r="I439" s="2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2:54" x14ac:dyDescent="0.2">
      <c r="B440" s="2"/>
      <c r="C440" s="2"/>
      <c r="G440" s="2"/>
      <c r="H440" s="2"/>
      <c r="I440" s="2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2:54" x14ac:dyDescent="0.2">
      <c r="B441" s="2"/>
      <c r="C441" s="2"/>
      <c r="G441" s="2"/>
      <c r="H441" s="2"/>
      <c r="I441" s="2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2:54" x14ac:dyDescent="0.2">
      <c r="B442" s="2"/>
      <c r="C442" s="2"/>
      <c r="G442" s="2"/>
      <c r="H442" s="2"/>
      <c r="I442" s="2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2:54" x14ac:dyDescent="0.2">
      <c r="B443" s="2"/>
      <c r="C443" s="2"/>
      <c r="G443" s="2"/>
      <c r="H443" s="2"/>
      <c r="I443" s="2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2:54" x14ac:dyDescent="0.2">
      <c r="B444" s="2"/>
      <c r="C444" s="2"/>
      <c r="G444" s="2"/>
      <c r="H444" s="2"/>
      <c r="I444" s="2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2:54" x14ac:dyDescent="0.2">
      <c r="B445" s="2"/>
      <c r="C445" s="2"/>
      <c r="G445" s="2"/>
      <c r="H445" s="2"/>
      <c r="I445" s="2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2:54" x14ac:dyDescent="0.2">
      <c r="B446" s="2"/>
      <c r="C446" s="2"/>
      <c r="G446" s="2"/>
      <c r="H446" s="2"/>
      <c r="I446" s="2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2:54" x14ac:dyDescent="0.2">
      <c r="B447" s="2"/>
      <c r="C447" s="2"/>
      <c r="G447" s="2"/>
      <c r="H447" s="2"/>
      <c r="I447" s="2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2:54" x14ac:dyDescent="0.2">
      <c r="B448" s="2"/>
      <c r="C448" s="2"/>
      <c r="G448" s="2"/>
      <c r="H448" s="2"/>
      <c r="I448" s="2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2:54" x14ac:dyDescent="0.2">
      <c r="B449" s="2"/>
      <c r="C449" s="2"/>
      <c r="G449" s="2"/>
      <c r="H449" s="2"/>
      <c r="I449" s="2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2:54" x14ac:dyDescent="0.2">
      <c r="B450" s="2"/>
      <c r="C450" s="2"/>
      <c r="G450" s="2"/>
      <c r="H450" s="2"/>
      <c r="I450" s="2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2:54" x14ac:dyDescent="0.2">
      <c r="B451" s="2"/>
      <c r="C451" s="2"/>
      <c r="G451" s="2"/>
      <c r="H451" s="2"/>
      <c r="I451" s="2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2:54" x14ac:dyDescent="0.2">
      <c r="B452" s="2"/>
      <c r="C452" s="2"/>
      <c r="G452" s="2"/>
      <c r="H452" s="2"/>
      <c r="I452" s="2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2:54" x14ac:dyDescent="0.2">
      <c r="B453" s="2"/>
      <c r="C453" s="2"/>
      <c r="G453" s="2"/>
      <c r="H453" s="2"/>
      <c r="I453" s="2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2:54" x14ac:dyDescent="0.2">
      <c r="B454" s="2"/>
      <c r="C454" s="2"/>
      <c r="G454" s="2"/>
      <c r="H454" s="2"/>
      <c r="I454" s="2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2:54" x14ac:dyDescent="0.2">
      <c r="B455" s="2"/>
      <c r="C455" s="2"/>
      <c r="G455" s="2"/>
      <c r="H455" s="2"/>
      <c r="I455" s="2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2:54" x14ac:dyDescent="0.2">
      <c r="B456" s="2"/>
      <c r="C456" s="2"/>
      <c r="G456" s="2"/>
      <c r="H456" s="2"/>
      <c r="I456" s="2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2:54" x14ac:dyDescent="0.2">
      <c r="B457" s="2"/>
      <c r="C457" s="2"/>
      <c r="G457" s="2"/>
      <c r="H457" s="2"/>
      <c r="I457" s="2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2:54" x14ac:dyDescent="0.2">
      <c r="B458" s="2"/>
      <c r="C458" s="2"/>
      <c r="G458" s="2"/>
      <c r="H458" s="2"/>
      <c r="I458" s="2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2:54" x14ac:dyDescent="0.2">
      <c r="B459" s="2"/>
      <c r="C459" s="2"/>
      <c r="G459" s="2"/>
      <c r="H459" s="2"/>
      <c r="I459" s="2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2:54" x14ac:dyDescent="0.2">
      <c r="B460" s="2"/>
      <c r="C460" s="2"/>
      <c r="G460" s="2"/>
      <c r="H460" s="2"/>
      <c r="I460" s="2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2:54" x14ac:dyDescent="0.2">
      <c r="B461" s="2"/>
      <c r="C461" s="2"/>
      <c r="G461" s="2"/>
      <c r="H461" s="2"/>
      <c r="I461" s="2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2:54" x14ac:dyDescent="0.2">
      <c r="B462" s="2"/>
      <c r="C462" s="2"/>
      <c r="G462" s="2"/>
      <c r="H462" s="2"/>
      <c r="I462" s="2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2:54" x14ac:dyDescent="0.2">
      <c r="B463" s="2"/>
      <c r="C463" s="2"/>
      <c r="G463" s="2"/>
      <c r="H463" s="2"/>
      <c r="I463" s="2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2:54" x14ac:dyDescent="0.2">
      <c r="B464" s="2"/>
      <c r="C464" s="2"/>
      <c r="G464" s="2"/>
      <c r="H464" s="2"/>
      <c r="I464" s="2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2:54" x14ac:dyDescent="0.2">
      <c r="B465" s="2"/>
      <c r="C465" s="2"/>
      <c r="G465" s="2"/>
      <c r="H465" s="2"/>
      <c r="I465" s="2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2:54" x14ac:dyDescent="0.2">
      <c r="B466" s="2"/>
      <c r="C466" s="2"/>
      <c r="G466" s="2"/>
      <c r="H466" s="2"/>
      <c r="I466" s="2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2:54" x14ac:dyDescent="0.2">
      <c r="B467" s="2"/>
      <c r="C467" s="2"/>
      <c r="G467" s="2"/>
      <c r="H467" s="2"/>
      <c r="I467" s="2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2:54" x14ac:dyDescent="0.2">
      <c r="B468" s="2"/>
      <c r="C468" s="2"/>
      <c r="G468" s="2"/>
      <c r="H468" s="2"/>
      <c r="I468" s="2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2:54" x14ac:dyDescent="0.2">
      <c r="B469" s="2"/>
      <c r="C469" s="2"/>
      <c r="G469" s="2"/>
      <c r="H469" s="2"/>
      <c r="I469" s="2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2:54" x14ac:dyDescent="0.2">
      <c r="B470" s="2"/>
      <c r="C470" s="2"/>
      <c r="G470" s="2"/>
      <c r="H470" s="2"/>
      <c r="I470" s="2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2:54" x14ac:dyDescent="0.2">
      <c r="B471" s="2"/>
      <c r="C471" s="2"/>
      <c r="G471" s="2"/>
      <c r="H471" s="2"/>
      <c r="I471" s="2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2:54" x14ac:dyDescent="0.2">
      <c r="B472" s="2"/>
      <c r="C472" s="2"/>
      <c r="G472" s="2"/>
      <c r="H472" s="2"/>
      <c r="I472" s="2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2:54" x14ac:dyDescent="0.2">
      <c r="B473" s="2"/>
      <c r="C473" s="2"/>
      <c r="G473" s="2"/>
      <c r="H473" s="2"/>
      <c r="I473" s="2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2:54" x14ac:dyDescent="0.2">
      <c r="B474" s="2"/>
      <c r="C474" s="2"/>
      <c r="G474" s="2"/>
      <c r="H474" s="2"/>
      <c r="I474" s="2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2:54" x14ac:dyDescent="0.2">
      <c r="B475" s="2"/>
      <c r="C475" s="2"/>
      <c r="G475" s="2"/>
      <c r="H475" s="2"/>
      <c r="I475" s="2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2:54" x14ac:dyDescent="0.2">
      <c r="B476" s="2"/>
      <c r="C476" s="2"/>
      <c r="G476" s="2"/>
      <c r="H476" s="2"/>
      <c r="I476" s="2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2:54" x14ac:dyDescent="0.2">
      <c r="B477" s="2"/>
      <c r="C477" s="2"/>
      <c r="G477" s="2"/>
      <c r="H477" s="2"/>
      <c r="I477" s="2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2:54" x14ac:dyDescent="0.2">
      <c r="B478" s="2"/>
      <c r="C478" s="2"/>
      <c r="G478" s="2"/>
      <c r="H478" s="2"/>
      <c r="I478" s="2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2:54" x14ac:dyDescent="0.2">
      <c r="B479" s="2"/>
      <c r="C479" s="2"/>
      <c r="G479" s="2"/>
      <c r="H479" s="2"/>
      <c r="I479" s="2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2:54" x14ac:dyDescent="0.2">
      <c r="B480" s="2"/>
      <c r="C480" s="2"/>
      <c r="G480" s="2"/>
      <c r="H480" s="2"/>
      <c r="I480" s="2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2:54" x14ac:dyDescent="0.2">
      <c r="B481" s="2"/>
      <c r="C481" s="2"/>
      <c r="G481" s="2"/>
      <c r="H481" s="2"/>
      <c r="I481" s="2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2:54" x14ac:dyDescent="0.2">
      <c r="B482" s="2"/>
      <c r="C482" s="2"/>
      <c r="G482" s="2"/>
      <c r="H482" s="2"/>
      <c r="I482" s="2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2:54" x14ac:dyDescent="0.2">
      <c r="B483" s="2"/>
      <c r="C483" s="2"/>
      <c r="G483" s="2"/>
      <c r="H483" s="2"/>
      <c r="I483" s="2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2:54" x14ac:dyDescent="0.2">
      <c r="B484" s="2"/>
      <c r="C484" s="2"/>
      <c r="G484" s="2"/>
      <c r="H484" s="2"/>
      <c r="I484" s="2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2:54" x14ac:dyDescent="0.2">
      <c r="B485" s="2"/>
      <c r="C485" s="2"/>
      <c r="G485" s="2"/>
      <c r="H485" s="2"/>
      <c r="I485" s="2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2:54" x14ac:dyDescent="0.2">
      <c r="B486" s="2"/>
      <c r="C486" s="2"/>
      <c r="G486" s="2"/>
      <c r="H486" s="2"/>
      <c r="I486" s="2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2:54" x14ac:dyDescent="0.2">
      <c r="B487" s="2"/>
      <c r="C487" s="2"/>
      <c r="G487" s="2"/>
      <c r="H487" s="2"/>
      <c r="I487" s="2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2:54" x14ac:dyDescent="0.2">
      <c r="B488" s="2"/>
      <c r="C488" s="2"/>
      <c r="G488" s="2"/>
      <c r="H488" s="2"/>
      <c r="I488" s="2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2:54" x14ac:dyDescent="0.2">
      <c r="B489" s="2"/>
      <c r="C489" s="2"/>
      <c r="G489" s="2"/>
      <c r="H489" s="2"/>
      <c r="I489" s="2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2:54" x14ac:dyDescent="0.2">
      <c r="B490" s="2"/>
      <c r="C490" s="2"/>
      <c r="G490" s="2"/>
      <c r="H490" s="2"/>
      <c r="I490" s="2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2:54" x14ac:dyDescent="0.2">
      <c r="B491" s="2"/>
      <c r="C491" s="2"/>
      <c r="G491" s="2"/>
      <c r="H491" s="2"/>
      <c r="I491" s="2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2:54" x14ac:dyDescent="0.2">
      <c r="B492" s="2"/>
      <c r="C492" s="2"/>
      <c r="G492" s="2"/>
      <c r="H492" s="2"/>
      <c r="I492" s="2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2:54" x14ac:dyDescent="0.2">
      <c r="B493" s="2"/>
      <c r="C493" s="2"/>
      <c r="G493" s="2"/>
      <c r="H493" s="2"/>
      <c r="I493" s="2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2:54" x14ac:dyDescent="0.2">
      <c r="B494" s="2"/>
      <c r="C494" s="2"/>
      <c r="G494" s="2"/>
      <c r="H494" s="2"/>
      <c r="I494" s="2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2:54" x14ac:dyDescent="0.2">
      <c r="B495" s="2"/>
      <c r="C495" s="2"/>
      <c r="G495" s="2"/>
      <c r="H495" s="2"/>
      <c r="I495" s="2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2:54" x14ac:dyDescent="0.2">
      <c r="B496" s="2"/>
      <c r="C496" s="2"/>
      <c r="G496" s="2"/>
      <c r="H496" s="2"/>
      <c r="I496" s="2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2:54" x14ac:dyDescent="0.2">
      <c r="B497" s="2"/>
      <c r="C497" s="2"/>
      <c r="G497" s="2"/>
      <c r="H497" s="2"/>
      <c r="I497" s="2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2:54" x14ac:dyDescent="0.2">
      <c r="B498" s="2"/>
      <c r="C498" s="2"/>
      <c r="G498" s="2"/>
      <c r="H498" s="2"/>
      <c r="I498" s="2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2:54" x14ac:dyDescent="0.2">
      <c r="B499" s="2"/>
      <c r="C499" s="2"/>
      <c r="G499" s="2"/>
      <c r="H499" s="2"/>
      <c r="I499" s="2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2:54" x14ac:dyDescent="0.2">
      <c r="B500" s="2"/>
      <c r="C500" s="2"/>
      <c r="G500" s="2"/>
      <c r="H500" s="2"/>
      <c r="I500" s="2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2:54" x14ac:dyDescent="0.2">
      <c r="B501" s="2"/>
      <c r="C501" s="2"/>
      <c r="G501" s="2"/>
      <c r="H501" s="2"/>
      <c r="I501" s="2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2:54" x14ac:dyDescent="0.2">
      <c r="B502" s="2"/>
      <c r="C502" s="2"/>
      <c r="G502" s="2"/>
      <c r="H502" s="2"/>
      <c r="I502" s="2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2:54" x14ac:dyDescent="0.2">
      <c r="B503" s="2"/>
      <c r="C503" s="2"/>
      <c r="G503" s="2"/>
      <c r="H503" s="2"/>
      <c r="I503" s="2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2:54" x14ac:dyDescent="0.2">
      <c r="B504" s="2"/>
      <c r="C504" s="2"/>
      <c r="G504" s="2"/>
      <c r="H504" s="2"/>
      <c r="I504" s="2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2:54" x14ac:dyDescent="0.2">
      <c r="B505" s="2"/>
      <c r="C505" s="2"/>
      <c r="G505" s="2"/>
      <c r="H505" s="2"/>
      <c r="I505" s="2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2:54" x14ac:dyDescent="0.2">
      <c r="B506" s="2"/>
      <c r="C506" s="2"/>
      <c r="G506" s="2"/>
      <c r="H506" s="2"/>
      <c r="I506" s="2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2:54" x14ac:dyDescent="0.2">
      <c r="B507" s="2"/>
      <c r="C507" s="2"/>
      <c r="G507" s="2"/>
      <c r="H507" s="2"/>
      <c r="I507" s="2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2:54" x14ac:dyDescent="0.2">
      <c r="B508" s="2"/>
      <c r="C508" s="2"/>
      <c r="G508" s="2"/>
      <c r="H508" s="2"/>
      <c r="I508" s="2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2:54" x14ac:dyDescent="0.2">
      <c r="B509" s="2"/>
      <c r="C509" s="2"/>
      <c r="G509" s="2"/>
      <c r="H509" s="2"/>
      <c r="I509" s="2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2:54" x14ac:dyDescent="0.2">
      <c r="B510" s="2"/>
      <c r="C510" s="2"/>
      <c r="G510" s="2"/>
      <c r="H510" s="2"/>
      <c r="I510" s="2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2:54" x14ac:dyDescent="0.2">
      <c r="B511" s="2"/>
      <c r="C511" s="2"/>
      <c r="G511" s="2"/>
      <c r="H511" s="2"/>
      <c r="I511" s="2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2:54" x14ac:dyDescent="0.2">
      <c r="B512" s="2"/>
      <c r="C512" s="2"/>
      <c r="G512" s="2"/>
      <c r="H512" s="2"/>
      <c r="I512" s="2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2:54" x14ac:dyDescent="0.2">
      <c r="B513" s="2"/>
      <c r="C513" s="2"/>
      <c r="G513" s="2"/>
      <c r="H513" s="2"/>
      <c r="I513" s="2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2:54" x14ac:dyDescent="0.2">
      <c r="B514" s="2"/>
      <c r="C514" s="2"/>
      <c r="G514" s="2"/>
      <c r="H514" s="2"/>
      <c r="I514" s="2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2:54" x14ac:dyDescent="0.2">
      <c r="B515" s="2"/>
      <c r="C515" s="2"/>
      <c r="G515" s="2"/>
      <c r="H515" s="2"/>
      <c r="I515" s="2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2:54" x14ac:dyDescent="0.2">
      <c r="B516" s="2"/>
      <c r="C516" s="2"/>
      <c r="G516" s="2"/>
      <c r="H516" s="2"/>
      <c r="I516" s="2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2:54" x14ac:dyDescent="0.2">
      <c r="B517" s="2"/>
      <c r="C517" s="2"/>
      <c r="G517" s="2"/>
      <c r="H517" s="2"/>
      <c r="I517" s="2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2:54" x14ac:dyDescent="0.2">
      <c r="B518" s="2"/>
      <c r="C518" s="2"/>
      <c r="G518" s="2"/>
      <c r="H518" s="2"/>
      <c r="I518" s="2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2:54" x14ac:dyDescent="0.2">
      <c r="B519" s="2"/>
      <c r="C519" s="2"/>
      <c r="G519" s="2"/>
      <c r="H519" s="2"/>
      <c r="I519" s="2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2:54" x14ac:dyDescent="0.2">
      <c r="B520" s="2"/>
      <c r="C520" s="2"/>
      <c r="G520" s="2"/>
      <c r="H520" s="2"/>
      <c r="I520" s="2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2:54" x14ac:dyDescent="0.2">
      <c r="B521" s="2"/>
      <c r="C521" s="2"/>
      <c r="G521" s="2"/>
      <c r="H521" s="2"/>
      <c r="I521" s="2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2:54" x14ac:dyDescent="0.2">
      <c r="B522" s="2"/>
      <c r="C522" s="2"/>
      <c r="G522" s="2"/>
      <c r="H522" s="2"/>
      <c r="I522" s="2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2:54" x14ac:dyDescent="0.2">
      <c r="B523" s="2"/>
      <c r="C523" s="2"/>
      <c r="G523" s="2"/>
      <c r="H523" s="2"/>
      <c r="I523" s="2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2:54" x14ac:dyDescent="0.2">
      <c r="B524" s="2"/>
      <c r="C524" s="2"/>
      <c r="G524" s="2"/>
      <c r="H524" s="2"/>
      <c r="I524" s="2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2:54" x14ac:dyDescent="0.2">
      <c r="B525" s="2"/>
      <c r="C525" s="2"/>
      <c r="G525" s="2"/>
      <c r="H525" s="2"/>
      <c r="I525" s="2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2:54" x14ac:dyDescent="0.2">
      <c r="B526" s="2"/>
      <c r="C526" s="2"/>
      <c r="G526" s="2"/>
      <c r="H526" s="2"/>
      <c r="I526" s="2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2:54" x14ac:dyDescent="0.2">
      <c r="B527" s="2"/>
      <c r="C527" s="2"/>
      <c r="G527" s="2"/>
      <c r="H527" s="2"/>
      <c r="I527" s="2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2:54" x14ac:dyDescent="0.2">
      <c r="B528" s="2"/>
      <c r="C528" s="2"/>
      <c r="G528" s="2"/>
      <c r="H528" s="2"/>
      <c r="I528" s="2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2:54" x14ac:dyDescent="0.2">
      <c r="B529" s="2"/>
      <c r="C529" s="2"/>
      <c r="G529" s="2"/>
      <c r="H529" s="2"/>
      <c r="I529" s="2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2:54" x14ac:dyDescent="0.2">
      <c r="B530" s="2"/>
      <c r="C530" s="2"/>
      <c r="G530" s="2"/>
      <c r="H530" s="2"/>
      <c r="I530" s="2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2:54" x14ac:dyDescent="0.2">
      <c r="B531" s="2"/>
      <c r="C531" s="2"/>
      <c r="G531" s="2"/>
      <c r="H531" s="2"/>
      <c r="I531" s="2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2:54" x14ac:dyDescent="0.2">
      <c r="B532" s="2"/>
      <c r="C532" s="2"/>
      <c r="G532" s="2"/>
      <c r="H532" s="2"/>
      <c r="I532" s="2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2:54" x14ac:dyDescent="0.2">
      <c r="B533" s="2"/>
      <c r="C533" s="2"/>
      <c r="G533" s="2"/>
      <c r="H533" s="2"/>
      <c r="I533" s="2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2:54" x14ac:dyDescent="0.2">
      <c r="B534" s="2"/>
      <c r="C534" s="2"/>
      <c r="G534" s="2"/>
      <c r="H534" s="2"/>
      <c r="I534" s="2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2:54" x14ac:dyDescent="0.2">
      <c r="B535" s="2"/>
      <c r="C535" s="2"/>
      <c r="G535" s="2"/>
      <c r="H535" s="2"/>
      <c r="I535" s="2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2:54" x14ac:dyDescent="0.2">
      <c r="B536" s="2"/>
      <c r="C536" s="2"/>
      <c r="G536" s="2"/>
      <c r="H536" s="2"/>
      <c r="I536" s="2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2:54" x14ac:dyDescent="0.2">
      <c r="B537" s="2"/>
      <c r="C537" s="2"/>
      <c r="G537" s="2"/>
      <c r="H537" s="2"/>
      <c r="I537" s="2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2:54" x14ac:dyDescent="0.2">
      <c r="B538" s="2"/>
      <c r="C538" s="2"/>
      <c r="G538" s="2"/>
      <c r="H538" s="2"/>
      <c r="I538" s="2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2:54" x14ac:dyDescent="0.2">
      <c r="B539" s="2"/>
      <c r="C539" s="2"/>
      <c r="G539" s="2"/>
      <c r="H539" s="2"/>
      <c r="I539" s="2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2:54" x14ac:dyDescent="0.2">
      <c r="B540" s="2"/>
      <c r="C540" s="2"/>
      <c r="G540" s="2"/>
      <c r="H540" s="2"/>
      <c r="I540" s="2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2:54" x14ac:dyDescent="0.2">
      <c r="B541" s="2"/>
      <c r="C541" s="2"/>
      <c r="G541" s="2"/>
      <c r="H541" s="2"/>
      <c r="I541" s="2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2:54" x14ac:dyDescent="0.2">
      <c r="B542" s="2"/>
      <c r="C542" s="2"/>
      <c r="G542" s="2"/>
      <c r="H542" s="2"/>
      <c r="I542" s="2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2:54" x14ac:dyDescent="0.2">
      <c r="B543" s="2"/>
      <c r="C543" s="2"/>
      <c r="G543" s="2"/>
      <c r="H543" s="2"/>
      <c r="I543" s="2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2:54" x14ac:dyDescent="0.2">
      <c r="B544" s="2"/>
      <c r="C544" s="2"/>
      <c r="G544" s="2"/>
      <c r="H544" s="2"/>
      <c r="I544" s="2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2:54" x14ac:dyDescent="0.2">
      <c r="B545" s="2"/>
      <c r="C545" s="2"/>
      <c r="G545" s="2"/>
      <c r="H545" s="2"/>
      <c r="I545" s="2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2:54" x14ac:dyDescent="0.2">
      <c r="B546" s="2"/>
      <c r="C546" s="2"/>
      <c r="G546" s="2"/>
      <c r="H546" s="2"/>
      <c r="I546" s="2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2:54" x14ac:dyDescent="0.2">
      <c r="B547" s="2"/>
      <c r="C547" s="2"/>
      <c r="G547" s="2"/>
      <c r="H547" s="2"/>
      <c r="I547" s="2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2:54" x14ac:dyDescent="0.2">
      <c r="B548" s="2"/>
      <c r="C548" s="2"/>
      <c r="G548" s="2"/>
      <c r="H548" s="2"/>
      <c r="I548" s="2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2:54" x14ac:dyDescent="0.2">
      <c r="B549" s="2"/>
      <c r="C549" s="2"/>
      <c r="G549" s="2"/>
      <c r="H549" s="2"/>
      <c r="I549" s="2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2:54" x14ac:dyDescent="0.2">
      <c r="B550" s="2"/>
      <c r="C550" s="2"/>
      <c r="G550" s="2"/>
      <c r="H550" s="2"/>
      <c r="I550" s="2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2:54" x14ac:dyDescent="0.2">
      <c r="B551" s="2"/>
      <c r="C551" s="2"/>
      <c r="G551" s="2"/>
      <c r="H551" s="2"/>
      <c r="I551" s="2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2:54" x14ac:dyDescent="0.2">
      <c r="B552" s="2"/>
      <c r="C552" s="2"/>
      <c r="G552" s="2"/>
      <c r="H552" s="2"/>
      <c r="I552" s="2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2:54" x14ac:dyDescent="0.2">
      <c r="B553" s="2"/>
      <c r="C553" s="2"/>
      <c r="G553" s="2"/>
      <c r="H553" s="2"/>
      <c r="I553" s="2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2:54" x14ac:dyDescent="0.2">
      <c r="B554" s="2"/>
      <c r="C554" s="2"/>
      <c r="G554" s="2"/>
      <c r="H554" s="2"/>
      <c r="I554" s="2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2:54" x14ac:dyDescent="0.2">
      <c r="B555" s="2"/>
      <c r="C555" s="2"/>
      <c r="G555" s="2"/>
      <c r="H555" s="2"/>
      <c r="I555" s="2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2:54" x14ac:dyDescent="0.2">
      <c r="B556" s="2"/>
      <c r="C556" s="2"/>
      <c r="G556" s="2"/>
      <c r="H556" s="2"/>
      <c r="I556" s="2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2:54" x14ac:dyDescent="0.2">
      <c r="B557" s="2"/>
      <c r="C557" s="2"/>
      <c r="G557" s="2"/>
      <c r="H557" s="2"/>
      <c r="I557" s="2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2:54" x14ac:dyDescent="0.2">
      <c r="B558" s="2"/>
      <c r="C558" s="2"/>
      <c r="G558" s="2"/>
      <c r="H558" s="2"/>
      <c r="I558" s="2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2:54" x14ac:dyDescent="0.2">
      <c r="B559" s="2"/>
      <c r="C559" s="2"/>
      <c r="G559" s="2"/>
      <c r="H559" s="2"/>
      <c r="I559" s="2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2:54" x14ac:dyDescent="0.2">
      <c r="B560" s="2"/>
      <c r="C560" s="2"/>
      <c r="G560" s="2"/>
      <c r="H560" s="2"/>
      <c r="I560" s="2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2:54" x14ac:dyDescent="0.2">
      <c r="B561" s="2"/>
      <c r="C561" s="2"/>
      <c r="G561" s="2"/>
      <c r="H561" s="2"/>
      <c r="I561" s="2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2:54" x14ac:dyDescent="0.2">
      <c r="B562" s="2"/>
      <c r="C562" s="2"/>
      <c r="G562" s="2"/>
      <c r="H562" s="2"/>
      <c r="I562" s="2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2:54" x14ac:dyDescent="0.2">
      <c r="B563" s="2"/>
      <c r="C563" s="2"/>
      <c r="G563" s="2"/>
      <c r="H563" s="2"/>
      <c r="I563" s="2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2:54" x14ac:dyDescent="0.2">
      <c r="B564" s="2"/>
      <c r="C564" s="2"/>
      <c r="G564" s="2"/>
      <c r="H564" s="2"/>
      <c r="I564" s="2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2:54" x14ac:dyDescent="0.2">
      <c r="B565" s="2"/>
      <c r="C565" s="2"/>
      <c r="G565" s="2"/>
      <c r="H565" s="2"/>
      <c r="I565" s="2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2:54" x14ac:dyDescent="0.2">
      <c r="B566" s="2"/>
      <c r="C566" s="2"/>
      <c r="G566" s="2"/>
      <c r="H566" s="2"/>
      <c r="I566" s="2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2:54" x14ac:dyDescent="0.2">
      <c r="B567" s="2"/>
      <c r="C567" s="2"/>
      <c r="G567" s="2"/>
      <c r="H567" s="2"/>
      <c r="I567" s="2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2:54" x14ac:dyDescent="0.2">
      <c r="B568" s="2"/>
      <c r="C568" s="2"/>
      <c r="G568" s="2"/>
      <c r="H568" s="2"/>
      <c r="I568" s="2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2:54" x14ac:dyDescent="0.2">
      <c r="B569" s="2"/>
      <c r="C569" s="2"/>
      <c r="G569" s="2"/>
      <c r="H569" s="2"/>
      <c r="I569" s="2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2:54" x14ac:dyDescent="0.2">
      <c r="B570" s="2"/>
      <c r="C570" s="2"/>
      <c r="G570" s="2"/>
      <c r="H570" s="2"/>
      <c r="I570" s="2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2:54" x14ac:dyDescent="0.2">
      <c r="B571" s="2"/>
      <c r="C571" s="2"/>
      <c r="G571" s="2"/>
      <c r="H571" s="2"/>
      <c r="I571" s="2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2:54" x14ac:dyDescent="0.2">
      <c r="B572" s="2"/>
      <c r="C572" s="2"/>
      <c r="G572" s="2"/>
      <c r="H572" s="2"/>
      <c r="I572" s="2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2:54" x14ac:dyDescent="0.2">
      <c r="B573" s="2"/>
      <c r="C573" s="2"/>
      <c r="G573" s="2"/>
      <c r="H573" s="2"/>
      <c r="I573" s="2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2:54" x14ac:dyDescent="0.2">
      <c r="B574" s="2"/>
      <c r="C574" s="2"/>
      <c r="G574" s="2"/>
      <c r="H574" s="2"/>
      <c r="I574" s="2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2:54" x14ac:dyDescent="0.2">
      <c r="B575" s="2"/>
      <c r="C575" s="2"/>
      <c r="G575" s="2"/>
      <c r="H575" s="2"/>
      <c r="I575" s="2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2:54" x14ac:dyDescent="0.2">
      <c r="B576" s="2"/>
      <c r="C576" s="2"/>
      <c r="G576" s="2"/>
      <c r="H576" s="2"/>
      <c r="I576" s="2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2:54" x14ac:dyDescent="0.2">
      <c r="B577" s="2"/>
      <c r="C577" s="2"/>
      <c r="G577" s="2"/>
      <c r="H577" s="2"/>
      <c r="I577" s="2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2:54" x14ac:dyDescent="0.2">
      <c r="B578" s="2"/>
      <c r="C578" s="2"/>
      <c r="G578" s="2"/>
      <c r="H578" s="2"/>
      <c r="I578" s="2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2:54" x14ac:dyDescent="0.2">
      <c r="B579" s="2"/>
      <c r="C579" s="2"/>
      <c r="G579" s="2"/>
      <c r="H579" s="2"/>
      <c r="I579" s="2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2:54" x14ac:dyDescent="0.2">
      <c r="B580" s="2"/>
      <c r="C580" s="2"/>
      <c r="G580" s="2"/>
      <c r="H580" s="2"/>
      <c r="I580" s="2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2:54" x14ac:dyDescent="0.2">
      <c r="B581" s="2"/>
      <c r="C581" s="2"/>
      <c r="G581" s="2"/>
      <c r="H581" s="2"/>
      <c r="I581" s="2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2:54" x14ac:dyDescent="0.2">
      <c r="B582" s="2"/>
      <c r="C582" s="2"/>
      <c r="G582" s="2"/>
      <c r="H582" s="2"/>
      <c r="I582" s="2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2:54" x14ac:dyDescent="0.2">
      <c r="B583" s="2"/>
      <c r="C583" s="2"/>
      <c r="G583" s="2"/>
      <c r="H583" s="2"/>
      <c r="I583" s="2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2:54" x14ac:dyDescent="0.2">
      <c r="B584" s="2"/>
      <c r="C584" s="2"/>
      <c r="G584" s="2"/>
      <c r="H584" s="2"/>
      <c r="I584" s="2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2:54" x14ac:dyDescent="0.2">
      <c r="B585" s="2"/>
      <c r="C585" s="2"/>
      <c r="G585" s="2"/>
      <c r="H585" s="2"/>
      <c r="I585" s="2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2:54" x14ac:dyDescent="0.2">
      <c r="B586" s="2"/>
      <c r="C586" s="2"/>
      <c r="G586" s="2"/>
      <c r="H586" s="2"/>
      <c r="I586" s="2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2:54" x14ac:dyDescent="0.2">
      <c r="B587" s="2"/>
      <c r="C587" s="2"/>
      <c r="G587" s="2"/>
      <c r="H587" s="2"/>
      <c r="I587" s="2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2:54" x14ac:dyDescent="0.2">
      <c r="B588" s="2"/>
      <c r="C588" s="2"/>
      <c r="G588" s="2"/>
      <c r="H588" s="2"/>
      <c r="I588" s="2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2:54" x14ac:dyDescent="0.2">
      <c r="B589" s="2"/>
      <c r="C589" s="2"/>
      <c r="G589" s="2"/>
      <c r="H589" s="2"/>
      <c r="I589" s="2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2:54" x14ac:dyDescent="0.2">
      <c r="B590" s="2"/>
      <c r="C590" s="2"/>
      <c r="G590" s="2"/>
      <c r="H590" s="2"/>
      <c r="I590" s="2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2:54" x14ac:dyDescent="0.2">
      <c r="B591" s="2"/>
      <c r="C591" s="2"/>
      <c r="G591" s="2"/>
      <c r="H591" s="2"/>
      <c r="I591" s="2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2:54" x14ac:dyDescent="0.2">
      <c r="B592" s="2"/>
      <c r="C592" s="2"/>
      <c r="G592" s="2"/>
      <c r="H592" s="2"/>
      <c r="I592" s="2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2:54" x14ac:dyDescent="0.2">
      <c r="B593" s="2"/>
      <c r="C593" s="2"/>
      <c r="G593" s="2"/>
      <c r="H593" s="2"/>
      <c r="I593" s="2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2:54" x14ac:dyDescent="0.2">
      <c r="B594" s="2"/>
      <c r="C594" s="2"/>
      <c r="G594" s="2"/>
      <c r="H594" s="2"/>
      <c r="I594" s="2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2:54" x14ac:dyDescent="0.2">
      <c r="B595" s="2"/>
      <c r="C595" s="2"/>
      <c r="G595" s="2"/>
      <c r="H595" s="2"/>
      <c r="I595" s="2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2:54" x14ac:dyDescent="0.2">
      <c r="B596" s="2"/>
      <c r="C596" s="2"/>
      <c r="G596" s="2"/>
      <c r="H596" s="2"/>
      <c r="I596" s="2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2:54" x14ac:dyDescent="0.2">
      <c r="B597" s="2"/>
      <c r="C597" s="2"/>
      <c r="G597" s="2"/>
      <c r="H597" s="2"/>
      <c r="I597" s="2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2:54" x14ac:dyDescent="0.2">
      <c r="B598" s="2"/>
      <c r="C598" s="2"/>
      <c r="G598" s="2"/>
      <c r="H598" s="2"/>
      <c r="I598" s="2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2:54" x14ac:dyDescent="0.2">
      <c r="B599" s="2"/>
      <c r="C599" s="2"/>
      <c r="G599" s="2"/>
      <c r="H599" s="2"/>
      <c r="I599" s="2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2:54" x14ac:dyDescent="0.2">
      <c r="B600" s="2"/>
      <c r="C600" s="2"/>
      <c r="G600" s="2"/>
      <c r="H600" s="2"/>
      <c r="I600" s="2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2:54" x14ac:dyDescent="0.2">
      <c r="B601" s="2"/>
      <c r="C601" s="2"/>
      <c r="G601" s="2"/>
      <c r="H601" s="2"/>
      <c r="I601" s="2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2:54" x14ac:dyDescent="0.2">
      <c r="B602" s="2"/>
      <c r="C602" s="2"/>
      <c r="G602" s="2"/>
      <c r="H602" s="2"/>
      <c r="I602" s="2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2:54" x14ac:dyDescent="0.2">
      <c r="B603" s="2"/>
      <c r="C603" s="2"/>
      <c r="G603" s="2"/>
      <c r="H603" s="2"/>
      <c r="I603" s="2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2:54" x14ac:dyDescent="0.2">
      <c r="B604" s="2"/>
      <c r="C604" s="2"/>
      <c r="G604" s="2"/>
      <c r="H604" s="2"/>
      <c r="I604" s="2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2:54" x14ac:dyDescent="0.2">
      <c r="B605" s="2"/>
      <c r="C605" s="2"/>
      <c r="G605" s="2"/>
      <c r="H605" s="2"/>
      <c r="I605" s="2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2:54" x14ac:dyDescent="0.2">
      <c r="B606" s="2"/>
      <c r="C606" s="2"/>
      <c r="G606" s="2"/>
      <c r="H606" s="2"/>
      <c r="I606" s="2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2:54" x14ac:dyDescent="0.2">
      <c r="B607" s="2"/>
      <c r="C607" s="2"/>
      <c r="G607" s="2"/>
      <c r="H607" s="2"/>
      <c r="I607" s="2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2:54" x14ac:dyDescent="0.2">
      <c r="B608" s="2"/>
      <c r="C608" s="2"/>
      <c r="G608" s="2"/>
      <c r="H608" s="2"/>
      <c r="I608" s="2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2:54" x14ac:dyDescent="0.2">
      <c r="B609" s="2"/>
      <c r="C609" s="2"/>
      <c r="G609" s="2"/>
      <c r="H609" s="2"/>
      <c r="I609" s="2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2:54" x14ac:dyDescent="0.2">
      <c r="B610" s="2"/>
      <c r="C610" s="2"/>
      <c r="G610" s="2"/>
      <c r="H610" s="2"/>
      <c r="I610" s="2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2:54" x14ac:dyDescent="0.2">
      <c r="B611" s="2"/>
      <c r="C611" s="2"/>
      <c r="G611" s="2"/>
      <c r="H611" s="2"/>
      <c r="I611" s="2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2:54" x14ac:dyDescent="0.2">
      <c r="B612" s="2"/>
      <c r="C612" s="2"/>
      <c r="G612" s="2"/>
      <c r="H612" s="2"/>
      <c r="I612" s="2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2:54" x14ac:dyDescent="0.2">
      <c r="B613" s="2"/>
      <c r="C613" s="2"/>
      <c r="G613" s="2"/>
      <c r="H613" s="2"/>
      <c r="I613" s="2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2:54" x14ac:dyDescent="0.2">
      <c r="B614" s="2"/>
      <c r="C614" s="2"/>
      <c r="G614" s="2"/>
      <c r="H614" s="2"/>
      <c r="I614" s="2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2:54" x14ac:dyDescent="0.2">
      <c r="B615" s="2"/>
      <c r="C615" s="2"/>
      <c r="G615" s="2"/>
      <c r="H615" s="2"/>
      <c r="I615" s="2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2:54" x14ac:dyDescent="0.2">
      <c r="B616" s="2"/>
      <c r="C616" s="2"/>
      <c r="G616" s="2"/>
      <c r="H616" s="2"/>
      <c r="I616" s="2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2:54" x14ac:dyDescent="0.2">
      <c r="B617" s="2"/>
      <c r="C617" s="2"/>
      <c r="G617" s="2"/>
      <c r="H617" s="2"/>
      <c r="I617" s="2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2:54" x14ac:dyDescent="0.2">
      <c r="B618" s="2"/>
      <c r="C618" s="2"/>
      <c r="G618" s="2"/>
      <c r="H618" s="2"/>
      <c r="I618" s="2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2:54" x14ac:dyDescent="0.2">
      <c r="B619" s="2"/>
      <c r="C619" s="2"/>
      <c r="G619" s="2"/>
      <c r="H619" s="2"/>
      <c r="I619" s="2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2:54" x14ac:dyDescent="0.2">
      <c r="B620" s="2"/>
      <c r="C620" s="2"/>
      <c r="G620" s="2"/>
      <c r="H620" s="2"/>
      <c r="I620" s="2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2:54" x14ac:dyDescent="0.2">
      <c r="B621" s="2"/>
      <c r="C621" s="2"/>
      <c r="G621" s="2"/>
      <c r="H621" s="2"/>
      <c r="I621" s="2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2:54" x14ac:dyDescent="0.2">
      <c r="B622" s="2"/>
      <c r="C622" s="2"/>
      <c r="G622" s="2"/>
      <c r="H622" s="2"/>
      <c r="I622" s="2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2:54" x14ac:dyDescent="0.2">
      <c r="B623" s="2"/>
      <c r="C623" s="2"/>
      <c r="G623" s="2"/>
      <c r="H623" s="2"/>
      <c r="I623" s="2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2:54" x14ac:dyDescent="0.2">
      <c r="B624" s="2"/>
      <c r="C624" s="2"/>
      <c r="G624" s="2"/>
      <c r="H624" s="2"/>
      <c r="I624" s="2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2:54" x14ac:dyDescent="0.2">
      <c r="B625" s="2"/>
      <c r="C625" s="2"/>
      <c r="G625" s="2"/>
      <c r="H625" s="2"/>
      <c r="I625" s="2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2:54" x14ac:dyDescent="0.2">
      <c r="B626" s="2"/>
      <c r="C626" s="2"/>
      <c r="G626" s="2"/>
      <c r="H626" s="2"/>
      <c r="I626" s="2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2:54" x14ac:dyDescent="0.2">
      <c r="B627" s="2"/>
      <c r="C627" s="2"/>
      <c r="G627" s="2"/>
      <c r="H627" s="2"/>
      <c r="I627" s="2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2:54" x14ac:dyDescent="0.2">
      <c r="B628" s="2"/>
      <c r="C628" s="2"/>
      <c r="G628" s="2"/>
      <c r="H628" s="2"/>
      <c r="I628" s="2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2:54" x14ac:dyDescent="0.2">
      <c r="B629" s="2"/>
      <c r="C629" s="2"/>
      <c r="G629" s="2"/>
      <c r="H629" s="2"/>
      <c r="I629" s="2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2:54" x14ac:dyDescent="0.2">
      <c r="B630" s="2"/>
      <c r="C630" s="2"/>
      <c r="G630" s="2"/>
      <c r="H630" s="2"/>
      <c r="I630" s="2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2:54" x14ac:dyDescent="0.2">
      <c r="B631" s="2"/>
      <c r="C631" s="2"/>
      <c r="G631" s="2"/>
      <c r="H631" s="2"/>
      <c r="I631" s="2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2:54" x14ac:dyDescent="0.2">
      <c r="B632" s="2"/>
      <c r="C632" s="2"/>
      <c r="G632" s="2"/>
      <c r="H632" s="2"/>
      <c r="I632" s="2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2:54" x14ac:dyDescent="0.2">
      <c r="B633" s="2"/>
      <c r="C633" s="2"/>
      <c r="G633" s="2"/>
      <c r="H633" s="2"/>
      <c r="I633" s="2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2:54" x14ac:dyDescent="0.2">
      <c r="B634" s="2"/>
      <c r="C634" s="2"/>
      <c r="G634" s="2"/>
      <c r="H634" s="2"/>
      <c r="I634" s="2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2:54" x14ac:dyDescent="0.2">
      <c r="B635" s="2"/>
      <c r="C635" s="2"/>
      <c r="G635" s="2"/>
      <c r="H635" s="2"/>
      <c r="I635" s="2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2:54" x14ac:dyDescent="0.2">
      <c r="B636" s="2"/>
      <c r="C636" s="2"/>
      <c r="G636" s="2"/>
      <c r="H636" s="2"/>
      <c r="I636" s="2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2:54" x14ac:dyDescent="0.2">
      <c r="B637" s="2"/>
      <c r="C637" s="2"/>
      <c r="G637" s="2"/>
      <c r="H637" s="2"/>
      <c r="I637" s="2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2:54" x14ac:dyDescent="0.2">
      <c r="B638" s="2"/>
      <c r="C638" s="2"/>
      <c r="G638" s="2"/>
      <c r="H638" s="2"/>
      <c r="I638" s="2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2:54" x14ac:dyDescent="0.2">
      <c r="B639" s="2"/>
      <c r="C639" s="2"/>
      <c r="G639" s="2"/>
      <c r="H639" s="2"/>
      <c r="I639" s="2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2:54" x14ac:dyDescent="0.2">
      <c r="B640" s="2"/>
      <c r="C640" s="2"/>
      <c r="G640" s="2"/>
      <c r="H640" s="2"/>
      <c r="I640" s="2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2:54" x14ac:dyDescent="0.2">
      <c r="B641" s="2"/>
      <c r="C641" s="2"/>
      <c r="G641" s="2"/>
      <c r="H641" s="2"/>
      <c r="I641" s="2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2:54" x14ac:dyDescent="0.2">
      <c r="B642" s="2"/>
      <c r="C642" s="2"/>
      <c r="G642" s="2"/>
      <c r="H642" s="2"/>
      <c r="I642" s="2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2:54" x14ac:dyDescent="0.2">
      <c r="B643" s="2"/>
      <c r="C643" s="2"/>
      <c r="G643" s="2"/>
      <c r="H643" s="2"/>
      <c r="I643" s="2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2:54" x14ac:dyDescent="0.2">
      <c r="B644" s="2"/>
      <c r="C644" s="2"/>
      <c r="G644" s="2"/>
      <c r="H644" s="2"/>
      <c r="I644" s="2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2:54" x14ac:dyDescent="0.2">
      <c r="B645" s="2"/>
      <c r="C645" s="2"/>
      <c r="G645" s="2"/>
      <c r="H645" s="2"/>
      <c r="I645" s="2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2:54" x14ac:dyDescent="0.2">
      <c r="B646" s="2"/>
      <c r="C646" s="2"/>
      <c r="G646" s="2"/>
      <c r="H646" s="2"/>
      <c r="I646" s="2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2:54" x14ac:dyDescent="0.2">
      <c r="B647" s="2"/>
      <c r="C647" s="2"/>
      <c r="G647" s="2"/>
      <c r="H647" s="2"/>
      <c r="I647" s="2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2:54" x14ac:dyDescent="0.2">
      <c r="B648" s="2"/>
      <c r="C648" s="2"/>
      <c r="G648" s="2"/>
      <c r="H648" s="2"/>
      <c r="I648" s="2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2:54" x14ac:dyDescent="0.2">
      <c r="B649" s="2"/>
      <c r="C649" s="2"/>
      <c r="G649" s="2"/>
      <c r="H649" s="2"/>
      <c r="I649" s="2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2:54" x14ac:dyDescent="0.2">
      <c r="B650" s="2"/>
      <c r="C650" s="2"/>
      <c r="G650" s="2"/>
      <c r="H650" s="2"/>
      <c r="I650" s="2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2:54" x14ac:dyDescent="0.2">
      <c r="B651" s="2"/>
      <c r="C651" s="2"/>
      <c r="G651" s="2"/>
      <c r="H651" s="2"/>
      <c r="I651" s="2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2:54" x14ac:dyDescent="0.2">
      <c r="B652" s="2"/>
      <c r="C652" s="2"/>
      <c r="G652" s="2"/>
      <c r="H652" s="2"/>
      <c r="I652" s="2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2:54" x14ac:dyDescent="0.2">
      <c r="B653" s="2"/>
      <c r="C653" s="2"/>
      <c r="G653" s="2"/>
      <c r="H653" s="2"/>
      <c r="I653" s="2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2:54" x14ac:dyDescent="0.2">
      <c r="B654" s="2"/>
      <c r="C654" s="2"/>
      <c r="G654" s="2"/>
      <c r="H654" s="2"/>
      <c r="I654" s="2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2:54" x14ac:dyDescent="0.2">
      <c r="B655" s="2"/>
      <c r="C655" s="2"/>
      <c r="G655" s="2"/>
      <c r="H655" s="2"/>
      <c r="I655" s="2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2:54" x14ac:dyDescent="0.2">
      <c r="B656" s="2"/>
      <c r="C656" s="2"/>
      <c r="G656" s="2"/>
      <c r="H656" s="2"/>
      <c r="I656" s="2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2:54" x14ac:dyDescent="0.2">
      <c r="B657" s="2"/>
      <c r="C657" s="2"/>
      <c r="G657" s="2"/>
      <c r="H657" s="2"/>
      <c r="I657" s="2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2:54" x14ac:dyDescent="0.2">
      <c r="B658" s="2"/>
      <c r="C658" s="2"/>
      <c r="G658" s="2"/>
      <c r="H658" s="2"/>
      <c r="I658" s="2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2:54" x14ac:dyDescent="0.2">
      <c r="B659" s="2"/>
      <c r="C659" s="2"/>
      <c r="G659" s="2"/>
      <c r="H659" s="2"/>
      <c r="I659" s="2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2:54" x14ac:dyDescent="0.2">
      <c r="B660" s="2"/>
      <c r="C660" s="2"/>
      <c r="G660" s="2"/>
      <c r="H660" s="2"/>
      <c r="I660" s="2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2:54" x14ac:dyDescent="0.2">
      <c r="B661" s="2"/>
      <c r="C661" s="2"/>
      <c r="G661" s="2"/>
      <c r="H661" s="2"/>
      <c r="I661" s="2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2:54" x14ac:dyDescent="0.2">
      <c r="B662" s="2"/>
      <c r="C662" s="2"/>
      <c r="G662" s="2"/>
      <c r="H662" s="2"/>
      <c r="I662" s="2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2:54" x14ac:dyDescent="0.2">
      <c r="B663" s="2"/>
      <c r="C663" s="2"/>
      <c r="G663" s="2"/>
      <c r="H663" s="2"/>
      <c r="I663" s="2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2:54" x14ac:dyDescent="0.2">
      <c r="B664" s="2"/>
      <c r="C664" s="2"/>
      <c r="G664" s="2"/>
      <c r="H664" s="2"/>
      <c r="I664" s="2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2:54" x14ac:dyDescent="0.2">
      <c r="B665" s="2"/>
      <c r="C665" s="2"/>
      <c r="G665" s="2"/>
      <c r="H665" s="2"/>
      <c r="I665" s="2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2:54" x14ac:dyDescent="0.2">
      <c r="B666" s="2"/>
      <c r="C666" s="2"/>
      <c r="G666" s="2"/>
      <c r="H666" s="2"/>
      <c r="I666" s="2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2:54" x14ac:dyDescent="0.2">
      <c r="B667" s="2"/>
      <c r="C667" s="2"/>
      <c r="G667" s="2"/>
      <c r="H667" s="2"/>
      <c r="I667" s="2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2:54" x14ac:dyDescent="0.2">
      <c r="B668" s="2"/>
      <c r="C668" s="2"/>
      <c r="G668" s="2"/>
      <c r="H668" s="2"/>
      <c r="I668" s="2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2:54" x14ac:dyDescent="0.2">
      <c r="B669" s="2"/>
      <c r="C669" s="2"/>
      <c r="G669" s="2"/>
      <c r="H669" s="2"/>
      <c r="I669" s="2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2:54" x14ac:dyDescent="0.2">
      <c r="B670" s="2"/>
      <c r="C670" s="2"/>
      <c r="G670" s="2"/>
      <c r="H670" s="2"/>
      <c r="I670" s="2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2:54" x14ac:dyDescent="0.2">
      <c r="B671" s="2"/>
      <c r="C671" s="2"/>
      <c r="G671" s="2"/>
      <c r="H671" s="2"/>
      <c r="I671" s="2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2:54" x14ac:dyDescent="0.2">
      <c r="B672" s="2"/>
      <c r="C672" s="2"/>
      <c r="G672" s="2"/>
      <c r="H672" s="2"/>
      <c r="I672" s="2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2:54" x14ac:dyDescent="0.2">
      <c r="B673" s="2"/>
      <c r="C673" s="2"/>
      <c r="G673" s="2"/>
      <c r="H673" s="2"/>
      <c r="I673" s="2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2:54" x14ac:dyDescent="0.2">
      <c r="B674" s="2"/>
      <c r="C674" s="2"/>
      <c r="G674" s="2"/>
      <c r="H674" s="2"/>
      <c r="I674" s="2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2:54" x14ac:dyDescent="0.2">
      <c r="B675" s="2"/>
      <c r="C675" s="2"/>
      <c r="G675" s="2"/>
      <c r="H675" s="2"/>
      <c r="I675" s="2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2:54" x14ac:dyDescent="0.2">
      <c r="B676" s="2"/>
      <c r="C676" s="2"/>
      <c r="G676" s="2"/>
      <c r="H676" s="2"/>
      <c r="I676" s="2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2:54" x14ac:dyDescent="0.2">
      <c r="B677" s="2"/>
      <c r="C677" s="2"/>
      <c r="G677" s="2"/>
      <c r="H677" s="2"/>
      <c r="I677" s="2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2:54" x14ac:dyDescent="0.2">
      <c r="B678" s="2"/>
      <c r="C678" s="2"/>
      <c r="G678" s="2"/>
      <c r="H678" s="2"/>
      <c r="I678" s="2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2:54" x14ac:dyDescent="0.2">
      <c r="B679" s="2"/>
      <c r="C679" s="2"/>
      <c r="G679" s="2"/>
      <c r="H679" s="2"/>
      <c r="I679" s="2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2:54" x14ac:dyDescent="0.2">
      <c r="B680" s="2"/>
      <c r="C680" s="2"/>
      <c r="G680" s="2"/>
      <c r="H680" s="2"/>
      <c r="I680" s="2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2:54" x14ac:dyDescent="0.2">
      <c r="B681" s="2"/>
      <c r="C681" s="2"/>
      <c r="G681" s="2"/>
      <c r="H681" s="2"/>
      <c r="I681" s="2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2:54" x14ac:dyDescent="0.2">
      <c r="B682" s="2"/>
      <c r="C682" s="2"/>
      <c r="G682" s="2"/>
      <c r="H682" s="2"/>
      <c r="I682" s="2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2:54" x14ac:dyDescent="0.2">
      <c r="B683" s="2"/>
      <c r="C683" s="2"/>
      <c r="G683" s="2"/>
      <c r="H683" s="2"/>
      <c r="I683" s="2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2:54" x14ac:dyDescent="0.2">
      <c r="B684" s="2"/>
      <c r="C684" s="2"/>
      <c r="G684" s="2"/>
      <c r="H684" s="2"/>
      <c r="I684" s="2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2:54" x14ac:dyDescent="0.2">
      <c r="B685" s="2"/>
      <c r="C685" s="2"/>
      <c r="G685" s="2"/>
      <c r="H685" s="2"/>
      <c r="I685" s="2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2:54" x14ac:dyDescent="0.2">
      <c r="B686" s="2"/>
      <c r="C686" s="2"/>
      <c r="G686" s="2"/>
      <c r="H686" s="2"/>
      <c r="I686" s="2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2:54" x14ac:dyDescent="0.2">
      <c r="B687" s="2"/>
      <c r="C687" s="2"/>
      <c r="G687" s="2"/>
      <c r="H687" s="2"/>
      <c r="I687" s="2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2:54" x14ac:dyDescent="0.2">
      <c r="B688" s="2"/>
      <c r="C688" s="2"/>
      <c r="G688" s="2"/>
      <c r="H688" s="2"/>
      <c r="I688" s="2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2:54" x14ac:dyDescent="0.2">
      <c r="B689" s="2"/>
      <c r="C689" s="2"/>
      <c r="G689" s="2"/>
      <c r="H689" s="2"/>
      <c r="I689" s="2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2:54" x14ac:dyDescent="0.2">
      <c r="B690" s="2"/>
      <c r="C690" s="2"/>
      <c r="G690" s="2"/>
      <c r="H690" s="2"/>
      <c r="I690" s="2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2:54" x14ac:dyDescent="0.2">
      <c r="B691" s="2"/>
      <c r="C691" s="2"/>
      <c r="G691" s="2"/>
      <c r="H691" s="2"/>
      <c r="I691" s="2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2:54" x14ac:dyDescent="0.2">
      <c r="B692" s="2"/>
      <c r="C692" s="2"/>
      <c r="G692" s="2"/>
      <c r="H692" s="2"/>
      <c r="I692" s="2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2:54" x14ac:dyDescent="0.2">
      <c r="B693" s="2"/>
      <c r="C693" s="2"/>
      <c r="G693" s="2"/>
      <c r="H693" s="2"/>
      <c r="I693" s="2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2:54" x14ac:dyDescent="0.2">
      <c r="B694" s="2"/>
      <c r="C694" s="2"/>
      <c r="G694" s="2"/>
      <c r="H694" s="2"/>
      <c r="I694" s="2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2:54" x14ac:dyDescent="0.2">
      <c r="B695" s="2"/>
      <c r="C695" s="2"/>
      <c r="G695" s="2"/>
      <c r="H695" s="2"/>
      <c r="I695" s="2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2:54" x14ac:dyDescent="0.2">
      <c r="B696" s="2"/>
      <c r="C696" s="2"/>
      <c r="G696" s="2"/>
      <c r="H696" s="2"/>
      <c r="I696" s="2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2:54" x14ac:dyDescent="0.2">
      <c r="B697" s="2"/>
      <c r="C697" s="2"/>
      <c r="G697" s="2"/>
      <c r="H697" s="2"/>
      <c r="I697" s="2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2:54" x14ac:dyDescent="0.2">
      <c r="B698" s="2"/>
      <c r="C698" s="2"/>
      <c r="G698" s="2"/>
      <c r="H698" s="2"/>
      <c r="I698" s="2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2:54" x14ac:dyDescent="0.2">
      <c r="B699" s="2"/>
      <c r="C699" s="2"/>
      <c r="G699" s="2"/>
      <c r="H699" s="2"/>
      <c r="I699" s="2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2:54" x14ac:dyDescent="0.2">
      <c r="B700" s="2"/>
      <c r="C700" s="2"/>
      <c r="G700" s="2"/>
      <c r="H700" s="2"/>
      <c r="I700" s="2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2:54" x14ac:dyDescent="0.2">
      <c r="B701" s="2"/>
      <c r="C701" s="2"/>
      <c r="G701" s="2"/>
      <c r="H701" s="2"/>
      <c r="I701" s="2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2:54" x14ac:dyDescent="0.2">
      <c r="B702" s="2"/>
      <c r="C702" s="2"/>
      <c r="G702" s="2"/>
      <c r="H702" s="2"/>
      <c r="I702" s="2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2:54" x14ac:dyDescent="0.2">
      <c r="B703" s="2"/>
      <c r="C703" s="2"/>
      <c r="G703" s="2"/>
      <c r="H703" s="2"/>
      <c r="I703" s="2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2:54" x14ac:dyDescent="0.2">
      <c r="B704" s="2"/>
      <c r="C704" s="2"/>
      <c r="G704" s="2"/>
      <c r="H704" s="2"/>
      <c r="I704" s="2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2:54" x14ac:dyDescent="0.2">
      <c r="B705" s="2"/>
      <c r="C705" s="2"/>
      <c r="G705" s="2"/>
      <c r="H705" s="2"/>
      <c r="I705" s="2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2:54" x14ac:dyDescent="0.2">
      <c r="B706" s="2"/>
      <c r="C706" s="2"/>
      <c r="G706" s="2"/>
      <c r="H706" s="2"/>
      <c r="I706" s="2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2:54" x14ac:dyDescent="0.2">
      <c r="B707" s="2"/>
      <c r="C707" s="2"/>
      <c r="G707" s="2"/>
      <c r="H707" s="2"/>
      <c r="I707" s="2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2:54" x14ac:dyDescent="0.2">
      <c r="B708" s="2"/>
      <c r="C708" s="2"/>
      <c r="G708" s="2"/>
      <c r="H708" s="2"/>
      <c r="I708" s="2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2:54" x14ac:dyDescent="0.2">
      <c r="B709" s="2"/>
      <c r="C709" s="2"/>
      <c r="G709" s="2"/>
      <c r="H709" s="2"/>
      <c r="I709" s="2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2:54" x14ac:dyDescent="0.2">
      <c r="B710" s="2"/>
      <c r="C710" s="2"/>
      <c r="G710" s="2"/>
      <c r="H710" s="2"/>
      <c r="I710" s="2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2:54" x14ac:dyDescent="0.2">
      <c r="B711" s="2"/>
      <c r="C711" s="2"/>
      <c r="G711" s="2"/>
      <c r="H711" s="2"/>
      <c r="I711" s="2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2:54" x14ac:dyDescent="0.2">
      <c r="B712" s="2"/>
      <c r="C712" s="2"/>
      <c r="G712" s="2"/>
      <c r="H712" s="2"/>
      <c r="I712" s="2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2:54" x14ac:dyDescent="0.2">
      <c r="B713" s="2"/>
      <c r="C713" s="2"/>
      <c r="G713" s="2"/>
      <c r="H713" s="2"/>
      <c r="I713" s="2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2:54" x14ac:dyDescent="0.2">
      <c r="B714" s="2"/>
      <c r="C714" s="2"/>
      <c r="G714" s="2"/>
      <c r="H714" s="2"/>
      <c r="I714" s="2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2:54" x14ac:dyDescent="0.2">
      <c r="B715" s="2"/>
      <c r="C715" s="2"/>
      <c r="G715" s="2"/>
      <c r="H715" s="2"/>
      <c r="I715" s="2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2:54" x14ac:dyDescent="0.2">
      <c r="B716" s="2"/>
      <c r="C716" s="2"/>
      <c r="G716" s="2"/>
      <c r="H716" s="2"/>
      <c r="I716" s="2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2:54" x14ac:dyDescent="0.2">
      <c r="B717" s="2"/>
      <c r="C717" s="2"/>
      <c r="G717" s="2"/>
      <c r="H717" s="2"/>
      <c r="I717" s="2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2:54" x14ac:dyDescent="0.2">
      <c r="B718" s="2"/>
      <c r="C718" s="2"/>
      <c r="G718" s="2"/>
      <c r="H718" s="2"/>
      <c r="I718" s="2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2:54" x14ac:dyDescent="0.2">
      <c r="B719" s="2"/>
      <c r="C719" s="2"/>
      <c r="G719" s="2"/>
      <c r="H719" s="2"/>
      <c r="I719" s="2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2:54" x14ac:dyDescent="0.2">
      <c r="B720" s="2"/>
      <c r="C720" s="2"/>
      <c r="G720" s="2"/>
      <c r="H720" s="2"/>
      <c r="I720" s="2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2:54" x14ac:dyDescent="0.2">
      <c r="B721" s="2"/>
      <c r="C721" s="2"/>
      <c r="G721" s="2"/>
      <c r="H721" s="2"/>
      <c r="I721" s="2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2:54" x14ac:dyDescent="0.2">
      <c r="B722" s="2"/>
      <c r="C722" s="2"/>
      <c r="G722" s="2"/>
      <c r="H722" s="2"/>
      <c r="I722" s="2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2:54" x14ac:dyDescent="0.2">
      <c r="B723" s="2"/>
      <c r="C723" s="2"/>
      <c r="G723" s="2"/>
      <c r="H723" s="2"/>
      <c r="I723" s="2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2:54" x14ac:dyDescent="0.2">
      <c r="B724" s="2"/>
      <c r="C724" s="2"/>
      <c r="G724" s="2"/>
      <c r="H724" s="2"/>
      <c r="I724" s="2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2:54" x14ac:dyDescent="0.2">
      <c r="B725" s="2"/>
      <c r="C725" s="2"/>
      <c r="G725" s="2"/>
      <c r="H725" s="2"/>
      <c r="I725" s="2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2:54" x14ac:dyDescent="0.2">
      <c r="B726" s="2"/>
      <c r="C726" s="2"/>
      <c r="G726" s="2"/>
      <c r="H726" s="2"/>
      <c r="I726" s="2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2:54" x14ac:dyDescent="0.2">
      <c r="B727" s="2"/>
      <c r="C727" s="2"/>
      <c r="G727" s="2"/>
      <c r="H727" s="2"/>
      <c r="I727" s="2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2:54" x14ac:dyDescent="0.2">
      <c r="B728" s="2"/>
      <c r="C728" s="2"/>
      <c r="G728" s="2"/>
      <c r="H728" s="2"/>
      <c r="I728" s="2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2:54" x14ac:dyDescent="0.2">
      <c r="B729" s="2"/>
      <c r="C729" s="2"/>
      <c r="G729" s="2"/>
      <c r="H729" s="2"/>
      <c r="I729" s="2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2:54" x14ac:dyDescent="0.2">
      <c r="B730" s="2"/>
      <c r="C730" s="2"/>
      <c r="G730" s="2"/>
      <c r="H730" s="2"/>
      <c r="I730" s="2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2:54" x14ac:dyDescent="0.2">
      <c r="B731" s="2"/>
      <c r="C731" s="2"/>
      <c r="G731" s="2"/>
      <c r="H731" s="2"/>
      <c r="I731" s="2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2:54" x14ac:dyDescent="0.2">
      <c r="B732" s="2"/>
      <c r="C732" s="2"/>
      <c r="G732" s="2"/>
      <c r="H732" s="2"/>
      <c r="I732" s="2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2:54" x14ac:dyDescent="0.2">
      <c r="B733" s="2"/>
      <c r="C733" s="2"/>
      <c r="G733" s="2"/>
      <c r="H733" s="2"/>
      <c r="I733" s="2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2:54" x14ac:dyDescent="0.2">
      <c r="B734" s="2"/>
      <c r="C734" s="2"/>
      <c r="G734" s="2"/>
      <c r="H734" s="2"/>
      <c r="I734" s="2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2:54" x14ac:dyDescent="0.2">
      <c r="B735" s="2"/>
      <c r="C735" s="2"/>
      <c r="G735" s="2"/>
      <c r="H735" s="2"/>
      <c r="I735" s="2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2:54" x14ac:dyDescent="0.2">
      <c r="B736" s="2"/>
      <c r="C736" s="2"/>
      <c r="G736" s="2"/>
      <c r="H736" s="2"/>
      <c r="I736" s="2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2:54" x14ac:dyDescent="0.2">
      <c r="B737" s="2"/>
      <c r="C737" s="2"/>
      <c r="G737" s="2"/>
      <c r="H737" s="2"/>
      <c r="I737" s="2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2:54" x14ac:dyDescent="0.2">
      <c r="B738" s="2"/>
      <c r="C738" s="2"/>
      <c r="G738" s="2"/>
      <c r="H738" s="2"/>
      <c r="I738" s="2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2:54" x14ac:dyDescent="0.2">
      <c r="B739" s="2"/>
      <c r="C739" s="2"/>
      <c r="G739" s="2"/>
      <c r="H739" s="2"/>
      <c r="I739" s="2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2:54" x14ac:dyDescent="0.2">
      <c r="B740" s="2"/>
      <c r="C740" s="2"/>
      <c r="G740" s="2"/>
      <c r="H740" s="2"/>
      <c r="I740" s="2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2:54" x14ac:dyDescent="0.2">
      <c r="B741" s="2"/>
      <c r="C741" s="2"/>
      <c r="G741" s="2"/>
      <c r="H741" s="2"/>
      <c r="I741" s="2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2:54" x14ac:dyDescent="0.2">
      <c r="B742" s="2"/>
      <c r="C742" s="2"/>
      <c r="G742" s="2"/>
      <c r="H742" s="2"/>
      <c r="I742" s="2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2:54" x14ac:dyDescent="0.2">
      <c r="B743" s="2"/>
      <c r="C743" s="2"/>
      <c r="G743" s="2"/>
      <c r="H743" s="2"/>
      <c r="I743" s="2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2:54" x14ac:dyDescent="0.2">
      <c r="B744" s="2"/>
      <c r="C744" s="2"/>
      <c r="G744" s="2"/>
      <c r="H744" s="2"/>
      <c r="I744" s="2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2:54" x14ac:dyDescent="0.2">
      <c r="B745" s="2"/>
      <c r="C745" s="2"/>
      <c r="G745" s="2"/>
      <c r="H745" s="2"/>
      <c r="I745" s="2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2:54" x14ac:dyDescent="0.2">
      <c r="B746" s="2"/>
      <c r="C746" s="2"/>
      <c r="G746" s="2"/>
      <c r="H746" s="2"/>
      <c r="I746" s="2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2:54" x14ac:dyDescent="0.2">
      <c r="B747" s="2"/>
      <c r="C747" s="2"/>
      <c r="G747" s="2"/>
      <c r="H747" s="2"/>
      <c r="I747" s="2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2:54" x14ac:dyDescent="0.2">
      <c r="B748" s="2"/>
      <c r="C748" s="2"/>
      <c r="G748" s="2"/>
      <c r="H748" s="2"/>
      <c r="I748" s="2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2:54" x14ac:dyDescent="0.2">
      <c r="B749" s="2"/>
      <c r="C749" s="2"/>
      <c r="G749" s="2"/>
      <c r="H749" s="2"/>
      <c r="I749" s="2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2:54" x14ac:dyDescent="0.2">
      <c r="B750" s="2"/>
      <c r="C750" s="2"/>
      <c r="G750" s="2"/>
      <c r="H750" s="2"/>
      <c r="I750" s="2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2:54" x14ac:dyDescent="0.2">
      <c r="B751" s="2"/>
      <c r="C751" s="2"/>
      <c r="G751" s="2"/>
      <c r="H751" s="2"/>
      <c r="I751" s="2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2:54" x14ac:dyDescent="0.2">
      <c r="B752" s="2"/>
      <c r="C752" s="2"/>
      <c r="G752" s="2"/>
      <c r="H752" s="2"/>
      <c r="I752" s="2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2:54" x14ac:dyDescent="0.2">
      <c r="B753" s="2"/>
      <c r="C753" s="2"/>
      <c r="G753" s="2"/>
      <c r="H753" s="2"/>
      <c r="I753" s="2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2:54" x14ac:dyDescent="0.2">
      <c r="B754" s="2"/>
      <c r="C754" s="2"/>
      <c r="G754" s="2"/>
      <c r="H754" s="2"/>
      <c r="I754" s="2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2:54" x14ac:dyDescent="0.2">
      <c r="B755" s="2"/>
      <c r="C755" s="2"/>
      <c r="G755" s="2"/>
      <c r="H755" s="2"/>
      <c r="I755" s="2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2:54" x14ac:dyDescent="0.2">
      <c r="B756" s="2"/>
      <c r="C756" s="2"/>
      <c r="G756" s="2"/>
      <c r="H756" s="2"/>
      <c r="I756" s="2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2:54" x14ac:dyDescent="0.2">
      <c r="B757" s="2"/>
      <c r="C757" s="2"/>
      <c r="G757" s="2"/>
      <c r="H757" s="2"/>
      <c r="I757" s="2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2:54" x14ac:dyDescent="0.2">
      <c r="B758" s="2"/>
      <c r="C758" s="2"/>
      <c r="G758" s="2"/>
      <c r="H758" s="2"/>
      <c r="I758" s="2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2:54" x14ac:dyDescent="0.2">
      <c r="B759" s="2"/>
      <c r="C759" s="2"/>
      <c r="G759" s="2"/>
      <c r="H759" s="2"/>
      <c r="I759" s="2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2:54" x14ac:dyDescent="0.2">
      <c r="B760" s="2"/>
      <c r="C760" s="2"/>
      <c r="G760" s="2"/>
      <c r="H760" s="2"/>
      <c r="I760" s="2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2:54" x14ac:dyDescent="0.2">
      <c r="B761" s="2"/>
      <c r="C761" s="2"/>
      <c r="G761" s="2"/>
      <c r="H761" s="2"/>
      <c r="I761" s="2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2:54" x14ac:dyDescent="0.2">
      <c r="B762" s="2"/>
      <c r="C762" s="2"/>
      <c r="G762" s="2"/>
      <c r="H762" s="2"/>
      <c r="I762" s="2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2:54" x14ac:dyDescent="0.2">
      <c r="B763" s="2"/>
      <c r="C763" s="2"/>
      <c r="G763" s="2"/>
      <c r="H763" s="2"/>
      <c r="I763" s="2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2:54" x14ac:dyDescent="0.2">
      <c r="B764" s="2"/>
      <c r="C764" s="2"/>
      <c r="G764" s="2"/>
      <c r="H764" s="2"/>
      <c r="I764" s="2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2:54" x14ac:dyDescent="0.2">
      <c r="B765" s="2"/>
      <c r="C765" s="2"/>
      <c r="G765" s="2"/>
      <c r="H765" s="2"/>
      <c r="I765" s="2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2:54" x14ac:dyDescent="0.2">
      <c r="B766" s="2"/>
      <c r="C766" s="2"/>
      <c r="G766" s="2"/>
      <c r="H766" s="2"/>
      <c r="I766" s="2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2:54" x14ac:dyDescent="0.2">
      <c r="B767" s="2"/>
      <c r="C767" s="2"/>
      <c r="G767" s="2"/>
      <c r="H767" s="2"/>
      <c r="I767" s="2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2:54" x14ac:dyDescent="0.2">
      <c r="B768" s="2"/>
      <c r="C768" s="2"/>
      <c r="G768" s="2"/>
      <c r="H768" s="2"/>
      <c r="I768" s="2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2:54" x14ac:dyDescent="0.2">
      <c r="B769" s="2"/>
      <c r="C769" s="2"/>
      <c r="G769" s="2"/>
      <c r="H769" s="2"/>
      <c r="I769" s="2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2:54" x14ac:dyDescent="0.2">
      <c r="B770" s="2"/>
      <c r="C770" s="2"/>
      <c r="G770" s="2"/>
      <c r="H770" s="2"/>
      <c r="I770" s="2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2:54" x14ac:dyDescent="0.2">
      <c r="B771" s="2"/>
      <c r="C771" s="2"/>
      <c r="G771" s="2"/>
      <c r="H771" s="2"/>
      <c r="I771" s="2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2:54" x14ac:dyDescent="0.2">
      <c r="B772" s="2"/>
      <c r="C772" s="2"/>
      <c r="G772" s="2"/>
      <c r="H772" s="2"/>
      <c r="I772" s="2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2:54" x14ac:dyDescent="0.2">
      <c r="B773" s="2"/>
      <c r="C773" s="2"/>
      <c r="G773" s="2"/>
      <c r="H773" s="2"/>
      <c r="I773" s="2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2:54" x14ac:dyDescent="0.2">
      <c r="B774" s="2"/>
      <c r="C774" s="2"/>
      <c r="G774" s="2"/>
      <c r="H774" s="2"/>
      <c r="I774" s="2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2:54" x14ac:dyDescent="0.2">
      <c r="B775" s="2"/>
      <c r="C775" s="2"/>
      <c r="G775" s="2"/>
      <c r="H775" s="2"/>
      <c r="I775" s="2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2:54" x14ac:dyDescent="0.2">
      <c r="B776" s="2"/>
      <c r="C776" s="2"/>
      <c r="G776" s="2"/>
      <c r="H776" s="2"/>
      <c r="I776" s="2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2:54" x14ac:dyDescent="0.2">
      <c r="B777" s="2"/>
      <c r="C777" s="2"/>
      <c r="G777" s="2"/>
      <c r="H777" s="2"/>
      <c r="I777" s="2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2:54" x14ac:dyDescent="0.2">
      <c r="B778" s="2"/>
      <c r="C778" s="2"/>
      <c r="G778" s="2"/>
      <c r="H778" s="2"/>
      <c r="I778" s="2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2:54" x14ac:dyDescent="0.2">
      <c r="B779" s="2"/>
      <c r="C779" s="2"/>
      <c r="G779" s="2"/>
      <c r="H779" s="2"/>
      <c r="I779" s="2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2:54" x14ac:dyDescent="0.2">
      <c r="B780" s="2"/>
      <c r="C780" s="2"/>
      <c r="G780" s="2"/>
      <c r="H780" s="2"/>
      <c r="I780" s="2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2:54" x14ac:dyDescent="0.2">
      <c r="B781" s="2"/>
      <c r="C781" s="2"/>
      <c r="G781" s="2"/>
      <c r="H781" s="2"/>
      <c r="I781" s="2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2:54" x14ac:dyDescent="0.2">
      <c r="B782" s="2"/>
      <c r="C782" s="2"/>
      <c r="G782" s="2"/>
      <c r="H782" s="2"/>
      <c r="I782" s="2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2:54" x14ac:dyDescent="0.2">
      <c r="B783" s="2"/>
      <c r="C783" s="2"/>
      <c r="G783" s="2"/>
      <c r="H783" s="2"/>
      <c r="I783" s="2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2:54" x14ac:dyDescent="0.2">
      <c r="B784" s="2"/>
      <c r="C784" s="2"/>
      <c r="G784" s="2"/>
      <c r="H784" s="2"/>
      <c r="I784" s="2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2:54" x14ac:dyDescent="0.2">
      <c r="B785" s="2"/>
      <c r="C785" s="2"/>
      <c r="G785" s="2"/>
      <c r="H785" s="2"/>
      <c r="I785" s="2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2:54" x14ac:dyDescent="0.2">
      <c r="B786" s="2"/>
      <c r="C786" s="2"/>
      <c r="G786" s="2"/>
      <c r="H786" s="2"/>
      <c r="I786" s="2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2:54" x14ac:dyDescent="0.2">
      <c r="B787" s="2"/>
      <c r="C787" s="2"/>
      <c r="G787" s="2"/>
      <c r="H787" s="2"/>
      <c r="I787" s="2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2:54" x14ac:dyDescent="0.2">
      <c r="B788" s="2"/>
      <c r="C788" s="2"/>
      <c r="G788" s="2"/>
      <c r="H788" s="2"/>
      <c r="I788" s="2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2:54" x14ac:dyDescent="0.2">
      <c r="B789" s="2"/>
      <c r="C789" s="2"/>
      <c r="G789" s="2"/>
      <c r="H789" s="2"/>
      <c r="I789" s="2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2:54" x14ac:dyDescent="0.2">
      <c r="B790" s="2"/>
      <c r="C790" s="2"/>
      <c r="G790" s="2"/>
      <c r="H790" s="2"/>
      <c r="I790" s="2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2:54" x14ac:dyDescent="0.2">
      <c r="B791" s="2"/>
      <c r="C791" s="2"/>
      <c r="G791" s="2"/>
      <c r="H791" s="2"/>
      <c r="I791" s="2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2:54" x14ac:dyDescent="0.2">
      <c r="B792" s="2"/>
      <c r="C792" s="2"/>
      <c r="G792" s="2"/>
      <c r="H792" s="2"/>
      <c r="I792" s="2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2:54" x14ac:dyDescent="0.2">
      <c r="B793" s="2"/>
      <c r="C793" s="2"/>
      <c r="G793" s="2"/>
      <c r="H793" s="2"/>
      <c r="I793" s="2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2:54" x14ac:dyDescent="0.2">
      <c r="B794" s="2"/>
      <c r="C794" s="2"/>
      <c r="G794" s="2"/>
      <c r="H794" s="2"/>
      <c r="I794" s="2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2:54" x14ac:dyDescent="0.2">
      <c r="B795" s="2"/>
      <c r="C795" s="2"/>
      <c r="G795" s="2"/>
      <c r="H795" s="2"/>
      <c r="I795" s="2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2:54" x14ac:dyDescent="0.2">
      <c r="B796" s="2"/>
      <c r="C796" s="2"/>
      <c r="G796" s="2"/>
      <c r="H796" s="2"/>
      <c r="I796" s="2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2:54" x14ac:dyDescent="0.2">
      <c r="B797" s="2"/>
      <c r="C797" s="2"/>
      <c r="G797" s="2"/>
      <c r="H797" s="2"/>
      <c r="I797" s="2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2:54" x14ac:dyDescent="0.2">
      <c r="B798" s="2"/>
      <c r="C798" s="2"/>
      <c r="G798" s="2"/>
      <c r="H798" s="2"/>
      <c r="I798" s="2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2:54" x14ac:dyDescent="0.2">
      <c r="B799" s="2"/>
      <c r="C799" s="2"/>
      <c r="G799" s="2"/>
      <c r="H799" s="2"/>
      <c r="I799" s="2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2:54" x14ac:dyDescent="0.2">
      <c r="B800" s="2"/>
      <c r="C800" s="2"/>
      <c r="G800" s="2"/>
      <c r="H800" s="2"/>
      <c r="I800" s="2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2:54" x14ac:dyDescent="0.2">
      <c r="B801" s="2"/>
      <c r="C801" s="2"/>
      <c r="G801" s="2"/>
      <c r="H801" s="2"/>
      <c r="I801" s="2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2:54" x14ac:dyDescent="0.2">
      <c r="B802" s="2"/>
      <c r="C802" s="2"/>
      <c r="G802" s="2"/>
      <c r="H802" s="2"/>
      <c r="I802" s="2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2:54" x14ac:dyDescent="0.2">
      <c r="B803" s="2"/>
      <c r="C803" s="2"/>
      <c r="G803" s="2"/>
      <c r="H803" s="2"/>
      <c r="I803" s="2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2:54" x14ac:dyDescent="0.2">
      <c r="B804" s="2"/>
      <c r="C804" s="2"/>
      <c r="G804" s="2"/>
      <c r="H804" s="2"/>
      <c r="I804" s="2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2:54" x14ac:dyDescent="0.2">
      <c r="B805" s="2"/>
      <c r="C805" s="2"/>
      <c r="G805" s="2"/>
      <c r="H805" s="2"/>
      <c r="I805" s="2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2:54" x14ac:dyDescent="0.2">
      <c r="B806" s="2"/>
      <c r="C806" s="2"/>
      <c r="G806" s="2"/>
      <c r="H806" s="2"/>
      <c r="I806" s="2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2:54" x14ac:dyDescent="0.2">
      <c r="B807" s="2"/>
      <c r="C807" s="2"/>
      <c r="G807" s="2"/>
      <c r="H807" s="2"/>
      <c r="I807" s="2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2:54" x14ac:dyDescent="0.2">
      <c r="B808" s="2"/>
      <c r="C808" s="2"/>
      <c r="G808" s="2"/>
      <c r="H808" s="2"/>
      <c r="I808" s="2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2:54" x14ac:dyDescent="0.2">
      <c r="B809" s="2"/>
      <c r="C809" s="2"/>
      <c r="G809" s="2"/>
      <c r="H809" s="2"/>
      <c r="I809" s="2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2:54" x14ac:dyDescent="0.2">
      <c r="B810" s="2"/>
      <c r="C810" s="2"/>
      <c r="G810" s="2"/>
      <c r="H810" s="2"/>
      <c r="I810" s="2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2:54" x14ac:dyDescent="0.2">
      <c r="B811" s="2"/>
      <c r="C811" s="2"/>
      <c r="G811" s="2"/>
      <c r="H811" s="2"/>
      <c r="I811" s="2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2:54" x14ac:dyDescent="0.2">
      <c r="B812" s="2"/>
      <c r="C812" s="2"/>
      <c r="G812" s="2"/>
      <c r="H812" s="2"/>
      <c r="I812" s="2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2:54" x14ac:dyDescent="0.2">
      <c r="B813" s="2"/>
      <c r="C813" s="2"/>
      <c r="G813" s="2"/>
      <c r="H813" s="2"/>
      <c r="I813" s="2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2:54" x14ac:dyDescent="0.2">
      <c r="B814" s="2"/>
      <c r="C814" s="2"/>
      <c r="G814" s="2"/>
      <c r="H814" s="2"/>
      <c r="I814" s="2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2:54" x14ac:dyDescent="0.2">
      <c r="B815" s="2"/>
      <c r="C815" s="2"/>
      <c r="G815" s="2"/>
      <c r="H815" s="2"/>
      <c r="I815" s="2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2:54" x14ac:dyDescent="0.2">
      <c r="B816" s="2"/>
      <c r="C816" s="2"/>
      <c r="G816" s="2"/>
      <c r="H816" s="2"/>
      <c r="I816" s="2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2:54" x14ac:dyDescent="0.2">
      <c r="B817" s="2"/>
      <c r="C817" s="2"/>
      <c r="G817" s="2"/>
      <c r="H817" s="2"/>
      <c r="I817" s="2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2:54" x14ac:dyDescent="0.2">
      <c r="B818" s="2"/>
      <c r="C818" s="2"/>
      <c r="G818" s="2"/>
      <c r="H818" s="2"/>
      <c r="I818" s="2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2:54" x14ac:dyDescent="0.2">
      <c r="B819" s="2"/>
      <c r="C819" s="2"/>
      <c r="G819" s="2"/>
      <c r="H819" s="2"/>
      <c r="I819" s="2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2:54" x14ac:dyDescent="0.2">
      <c r="B820" s="2"/>
      <c r="C820" s="2"/>
      <c r="G820" s="2"/>
      <c r="H820" s="2"/>
      <c r="I820" s="2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2:54" x14ac:dyDescent="0.2">
      <c r="B821" s="2"/>
      <c r="C821" s="2"/>
      <c r="G821" s="2"/>
      <c r="H821" s="2"/>
      <c r="I821" s="2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2:54" x14ac:dyDescent="0.2">
      <c r="B822" s="2"/>
      <c r="C822" s="2"/>
      <c r="G822" s="2"/>
      <c r="H822" s="2"/>
      <c r="I822" s="2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2:54" x14ac:dyDescent="0.2">
      <c r="B823" s="2"/>
      <c r="C823" s="2"/>
      <c r="G823" s="2"/>
      <c r="H823" s="2"/>
      <c r="I823" s="2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2:54" x14ac:dyDescent="0.2">
      <c r="B824" s="2"/>
      <c r="C824" s="2"/>
      <c r="G824" s="2"/>
      <c r="H824" s="2"/>
      <c r="I824" s="2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2:54" x14ac:dyDescent="0.2">
      <c r="B825" s="2"/>
      <c r="C825" s="2"/>
      <c r="G825" s="2"/>
      <c r="H825" s="2"/>
      <c r="I825" s="2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2:54" x14ac:dyDescent="0.2">
      <c r="B826" s="13"/>
      <c r="C826" s="13"/>
      <c r="D826" s="13"/>
      <c r="E826" s="13"/>
      <c r="F826" s="13"/>
      <c r="G826" s="13"/>
      <c r="H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2:54" x14ac:dyDescent="0.2">
      <c r="B827" s="13"/>
      <c r="C827" s="13"/>
      <c r="D827" s="13"/>
      <c r="E827" s="13"/>
      <c r="F827" s="13"/>
      <c r="G827" s="13"/>
      <c r="H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2:54" x14ac:dyDescent="0.2">
      <c r="B828" s="13"/>
      <c r="C828" s="13"/>
      <c r="D828" s="13"/>
      <c r="E828" s="13"/>
      <c r="F828" s="13"/>
      <c r="G828" s="13"/>
      <c r="H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2:54" x14ac:dyDescent="0.2">
      <c r="B829" s="13"/>
      <c r="C829" s="13"/>
      <c r="D829" s="13"/>
      <c r="E829" s="13"/>
      <c r="F829" s="13"/>
      <c r="G829" s="13"/>
      <c r="H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2:54" x14ac:dyDescent="0.2">
      <c r="B830" s="13"/>
      <c r="C830" s="13"/>
      <c r="D830" s="13"/>
      <c r="E830" s="13"/>
      <c r="F830" s="13"/>
      <c r="G830" s="13"/>
      <c r="H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2:54" x14ac:dyDescent="0.2">
      <c r="B831" s="13"/>
      <c r="C831" s="13"/>
      <c r="D831" s="13"/>
      <c r="E831" s="13"/>
      <c r="F831" s="13"/>
      <c r="G831" s="13"/>
      <c r="H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2:54" x14ac:dyDescent="0.2">
      <c r="B832" s="13"/>
      <c r="C832" s="13"/>
      <c r="D832" s="13"/>
      <c r="E832" s="13"/>
      <c r="F832" s="13"/>
      <c r="G832" s="13"/>
      <c r="H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2:54" x14ac:dyDescent="0.2">
      <c r="B833" s="13"/>
      <c r="C833" s="13"/>
      <c r="D833" s="13"/>
      <c r="E833" s="13"/>
      <c r="F833" s="13"/>
      <c r="G833" s="13"/>
      <c r="H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2:54" x14ac:dyDescent="0.2">
      <c r="B834" s="13"/>
      <c r="C834" s="13"/>
      <c r="D834" s="13"/>
      <c r="E834" s="13"/>
      <c r="F834" s="13"/>
      <c r="G834" s="13"/>
      <c r="H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2:54" x14ac:dyDescent="0.2">
      <c r="B835" s="13"/>
      <c r="C835" s="13"/>
      <c r="D835" s="13"/>
      <c r="E835" s="13"/>
      <c r="F835" s="13"/>
      <c r="G835" s="13"/>
      <c r="H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2:54" x14ac:dyDescent="0.2">
      <c r="B836" s="13"/>
      <c r="C836" s="13"/>
      <c r="D836" s="13"/>
      <c r="E836" s="13"/>
      <c r="F836" s="13"/>
      <c r="G836" s="13"/>
      <c r="H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2:54" x14ac:dyDescent="0.2">
      <c r="B837" s="13"/>
      <c r="C837" s="13"/>
      <c r="D837" s="13"/>
      <c r="E837" s="13"/>
      <c r="F837" s="13"/>
      <c r="G837" s="13"/>
      <c r="H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2:54" x14ac:dyDescent="0.2">
      <c r="B838" s="13"/>
      <c r="C838" s="13"/>
      <c r="D838" s="13"/>
      <c r="E838" s="13"/>
      <c r="F838" s="13"/>
      <c r="G838" s="13"/>
      <c r="H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2:54" x14ac:dyDescent="0.2">
      <c r="B839" s="13"/>
      <c r="C839" s="13"/>
      <c r="D839" s="13"/>
      <c r="E839" s="13"/>
      <c r="F839" s="13"/>
      <c r="G839" s="13"/>
      <c r="H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2:54" x14ac:dyDescent="0.2">
      <c r="B840" s="13"/>
      <c r="C840" s="13"/>
      <c r="D840" s="13"/>
      <c r="E840" s="13"/>
      <c r="F840" s="13"/>
      <c r="G840" s="13"/>
      <c r="H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2:54" x14ac:dyDescent="0.2">
      <c r="B841" s="13"/>
      <c r="C841" s="13"/>
      <c r="D841" s="13"/>
      <c r="E841" s="13"/>
      <c r="F841" s="13"/>
      <c r="G841" s="13"/>
      <c r="H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2:54" x14ac:dyDescent="0.2">
      <c r="B842" s="13"/>
      <c r="C842" s="13"/>
      <c r="D842" s="13"/>
      <c r="E842" s="13"/>
      <c r="F842" s="13"/>
      <c r="G842" s="13"/>
      <c r="H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2:54" x14ac:dyDescent="0.2">
      <c r="B843" s="13"/>
      <c r="C843" s="13"/>
      <c r="D843" s="13"/>
      <c r="E843" s="13"/>
      <c r="F843" s="13"/>
      <c r="G843" s="13"/>
      <c r="H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2:54" x14ac:dyDescent="0.2">
      <c r="B844" s="13"/>
      <c r="C844" s="13"/>
      <c r="D844" s="13"/>
      <c r="E844" s="13"/>
      <c r="F844" s="13"/>
      <c r="G844" s="13"/>
      <c r="H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2:54" x14ac:dyDescent="0.2">
      <c r="B845" s="13"/>
      <c r="C845" s="13"/>
      <c r="D845" s="13"/>
      <c r="E845" s="13"/>
      <c r="F845" s="13"/>
      <c r="G845" s="13"/>
      <c r="H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2:54" x14ac:dyDescent="0.2">
      <c r="B846" s="13"/>
      <c r="C846" s="13"/>
      <c r="D846" s="13"/>
      <c r="E846" s="13"/>
      <c r="F846" s="13"/>
      <c r="G846" s="13"/>
      <c r="H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2:54" x14ac:dyDescent="0.2">
      <c r="B847" s="13"/>
      <c r="C847" s="13"/>
      <c r="D847" s="13"/>
      <c r="E847" s="13"/>
      <c r="F847" s="13"/>
      <c r="G847" s="13"/>
      <c r="H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2:54" x14ac:dyDescent="0.2">
      <c r="B848" s="13"/>
      <c r="C848" s="13"/>
      <c r="D848" s="13"/>
      <c r="E848" s="13"/>
      <c r="F848" s="13"/>
      <c r="G848" s="13"/>
      <c r="H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2:54" x14ac:dyDescent="0.2">
      <c r="B849" s="13"/>
      <c r="C849" s="13"/>
      <c r="D849" s="13"/>
      <c r="E849" s="13"/>
      <c r="F849" s="13"/>
      <c r="G849" s="13"/>
      <c r="H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2:54" x14ac:dyDescent="0.2">
      <c r="B850" s="13"/>
      <c r="C850" s="13"/>
      <c r="D850" s="13"/>
      <c r="E850" s="13"/>
      <c r="F850" s="13"/>
      <c r="G850" s="13"/>
      <c r="H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2:54" x14ac:dyDescent="0.2">
      <c r="B851" s="13"/>
      <c r="C851" s="13"/>
      <c r="D851" s="13"/>
      <c r="E851" s="13"/>
      <c r="F851" s="13"/>
      <c r="G851" s="13"/>
      <c r="H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2:54" x14ac:dyDescent="0.2">
      <c r="B852" s="13"/>
      <c r="C852" s="13"/>
      <c r="D852" s="13"/>
      <c r="E852" s="13"/>
      <c r="F852" s="13"/>
      <c r="G852" s="13"/>
      <c r="H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2:54" x14ac:dyDescent="0.2">
      <c r="B853" s="13"/>
      <c r="C853" s="13"/>
      <c r="D853" s="13"/>
      <c r="E853" s="13"/>
      <c r="F853" s="13"/>
      <c r="G853" s="13"/>
      <c r="H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2:54" x14ac:dyDescent="0.2">
      <c r="B854" s="13"/>
      <c r="C854" s="13"/>
      <c r="D854" s="13"/>
      <c r="E854" s="13"/>
      <c r="F854" s="13"/>
      <c r="G854" s="13"/>
      <c r="H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2:54" x14ac:dyDescent="0.2">
      <c r="B855" s="13"/>
      <c r="C855" s="13"/>
      <c r="D855" s="13"/>
      <c r="E855" s="13"/>
      <c r="F855" s="13"/>
      <c r="G855" s="13"/>
      <c r="H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2:54" x14ac:dyDescent="0.2">
      <c r="B856" s="13"/>
      <c r="C856" s="13"/>
      <c r="D856" s="13"/>
      <c r="E856" s="13"/>
      <c r="F856" s="13"/>
      <c r="G856" s="13"/>
      <c r="H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2:54" x14ac:dyDescent="0.2">
      <c r="B857" s="13"/>
      <c r="C857" s="13"/>
      <c r="D857" s="13"/>
      <c r="E857" s="13"/>
      <c r="F857" s="13"/>
      <c r="G857" s="13"/>
      <c r="H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2:54" x14ac:dyDescent="0.2">
      <c r="B858" s="13"/>
      <c r="C858" s="13"/>
      <c r="D858" s="13"/>
      <c r="E858" s="13"/>
      <c r="F858" s="13"/>
      <c r="G858" s="13"/>
      <c r="H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2:54" x14ac:dyDescent="0.2">
      <c r="B859" s="13"/>
      <c r="C859" s="13"/>
      <c r="D859" s="13"/>
      <c r="E859" s="13"/>
      <c r="F859" s="13"/>
      <c r="G859" s="13"/>
      <c r="H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2:54" x14ac:dyDescent="0.2">
      <c r="B860" s="13"/>
      <c r="C860" s="13"/>
      <c r="D860" s="13"/>
      <c r="E860" s="13"/>
      <c r="F860" s="13"/>
      <c r="G860" s="13"/>
      <c r="H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2:54" x14ac:dyDescent="0.2">
      <c r="B861" s="13"/>
      <c r="C861" s="13"/>
      <c r="D861" s="13"/>
      <c r="E861" s="13"/>
      <c r="F861" s="13"/>
      <c r="G861" s="13"/>
      <c r="H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2:54" x14ac:dyDescent="0.2">
      <c r="B862" s="13"/>
      <c r="C862" s="13"/>
      <c r="D862" s="13"/>
      <c r="E862" s="13"/>
      <c r="F862" s="13"/>
      <c r="G862" s="13"/>
      <c r="H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2:54" x14ac:dyDescent="0.2">
      <c r="B863" s="13"/>
      <c r="C863" s="13"/>
      <c r="D863" s="13"/>
      <c r="E863" s="13"/>
      <c r="F863" s="13"/>
      <c r="G863" s="13"/>
      <c r="H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2:54" x14ac:dyDescent="0.2">
      <c r="B864" s="13"/>
      <c r="C864" s="13"/>
      <c r="D864" s="13"/>
      <c r="E864" s="13"/>
      <c r="F864" s="13"/>
      <c r="G864" s="13"/>
      <c r="H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2:54" x14ac:dyDescent="0.2">
      <c r="B865" s="13"/>
      <c r="C865" s="13"/>
      <c r="D865" s="13"/>
      <c r="E865" s="13"/>
      <c r="F865" s="13"/>
      <c r="G865" s="13"/>
      <c r="H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2:54" x14ac:dyDescent="0.2">
      <c r="B866" s="13"/>
      <c r="C866" s="13"/>
      <c r="D866" s="13"/>
      <c r="E866" s="13"/>
      <c r="F866" s="13"/>
      <c r="G866" s="13"/>
      <c r="H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2:54" x14ac:dyDescent="0.2">
      <c r="B867" s="13"/>
      <c r="C867" s="13"/>
      <c r="D867" s="13"/>
      <c r="E867" s="13"/>
      <c r="F867" s="13"/>
      <c r="G867" s="13"/>
      <c r="H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2:54" x14ac:dyDescent="0.2">
      <c r="B868" s="13"/>
      <c r="C868" s="13"/>
      <c r="D868" s="13"/>
      <c r="E868" s="13"/>
      <c r="F868" s="13"/>
      <c r="G868" s="13"/>
      <c r="H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2:54" x14ac:dyDescent="0.2">
      <c r="B869" s="13"/>
      <c r="C869" s="13"/>
      <c r="D869" s="13"/>
      <c r="E869" s="13"/>
      <c r="F869" s="13"/>
      <c r="G869" s="13"/>
      <c r="H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2:54" x14ac:dyDescent="0.2">
      <c r="B870" s="13"/>
      <c r="C870" s="13"/>
      <c r="D870" s="13"/>
      <c r="E870" s="13"/>
      <c r="F870" s="13"/>
      <c r="G870" s="13"/>
      <c r="H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2:54" x14ac:dyDescent="0.2">
      <c r="B871" s="13"/>
      <c r="C871" s="13"/>
      <c r="D871" s="13"/>
      <c r="E871" s="13"/>
      <c r="F871" s="13"/>
      <c r="G871" s="13"/>
      <c r="H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2:54" x14ac:dyDescent="0.2">
      <c r="B872" s="13"/>
      <c r="C872" s="13"/>
      <c r="D872" s="13"/>
      <c r="E872" s="13"/>
      <c r="F872" s="13"/>
      <c r="G872" s="13"/>
      <c r="H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2:54" x14ac:dyDescent="0.2">
      <c r="B873" s="13"/>
      <c r="C873" s="13"/>
      <c r="D873" s="13"/>
      <c r="E873" s="13"/>
      <c r="F873" s="13"/>
      <c r="G873" s="13"/>
      <c r="H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2:54" x14ac:dyDescent="0.2">
      <c r="B874" s="13"/>
      <c r="C874" s="13"/>
      <c r="D874" s="13"/>
      <c r="E874" s="13"/>
      <c r="F874" s="13"/>
      <c r="G874" s="13"/>
      <c r="H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2:54" x14ac:dyDescent="0.2">
      <c r="B875" s="13"/>
      <c r="C875" s="13"/>
      <c r="D875" s="13"/>
      <c r="E875" s="13"/>
      <c r="F875" s="13"/>
      <c r="G875" s="13"/>
      <c r="H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2:54" x14ac:dyDescent="0.2">
      <c r="B876" s="13"/>
      <c r="C876" s="13"/>
      <c r="D876" s="13"/>
      <c r="E876" s="13"/>
      <c r="F876" s="13"/>
      <c r="G876" s="13"/>
      <c r="H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2:54" x14ac:dyDescent="0.2">
      <c r="B877" s="13"/>
      <c r="C877" s="13"/>
      <c r="D877" s="13"/>
      <c r="E877" s="13"/>
      <c r="F877" s="13"/>
      <c r="G877" s="13"/>
      <c r="H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2:54" x14ac:dyDescent="0.2">
      <c r="B878" s="13"/>
      <c r="C878" s="13"/>
      <c r="D878" s="13"/>
      <c r="E878" s="13"/>
      <c r="F878" s="13"/>
      <c r="G878" s="13"/>
      <c r="H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2:54" x14ac:dyDescent="0.2">
      <c r="B879" s="13"/>
      <c r="C879" s="13"/>
      <c r="D879" s="13"/>
      <c r="E879" s="13"/>
      <c r="F879" s="13"/>
      <c r="G879" s="13"/>
      <c r="H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2:54" x14ac:dyDescent="0.2">
      <c r="B880" s="13"/>
      <c r="C880" s="13"/>
      <c r="D880" s="13"/>
      <c r="E880" s="13"/>
      <c r="F880" s="13"/>
      <c r="G880" s="13"/>
      <c r="H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2:54" x14ac:dyDescent="0.2">
      <c r="B881" s="13"/>
      <c r="C881" s="13"/>
      <c r="D881" s="13"/>
      <c r="E881" s="13"/>
      <c r="F881" s="13"/>
      <c r="G881" s="13"/>
      <c r="H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2:54" x14ac:dyDescent="0.2">
      <c r="B882" s="13"/>
      <c r="C882" s="13"/>
      <c r="D882" s="13"/>
      <c r="E882" s="13"/>
      <c r="F882" s="13"/>
      <c r="G882" s="13"/>
      <c r="H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2:54" x14ac:dyDescent="0.2">
      <c r="B883" s="13"/>
      <c r="C883" s="13"/>
      <c r="D883" s="13"/>
      <c r="E883" s="13"/>
      <c r="F883" s="13"/>
      <c r="G883" s="13"/>
      <c r="H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2:54" x14ac:dyDescent="0.2">
      <c r="B884" s="13"/>
      <c r="C884" s="13"/>
      <c r="D884" s="13"/>
      <c r="E884" s="13"/>
      <c r="F884" s="13"/>
      <c r="G884" s="13"/>
      <c r="H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2:54" x14ac:dyDescent="0.2">
      <c r="B885" s="13"/>
      <c r="C885" s="13"/>
      <c r="D885" s="13"/>
      <c r="E885" s="13"/>
      <c r="F885" s="13"/>
      <c r="G885" s="13"/>
      <c r="H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2:54" x14ac:dyDescent="0.2">
      <c r="B886" s="13"/>
      <c r="C886" s="13"/>
      <c r="D886" s="13"/>
      <c r="E886" s="13"/>
      <c r="F886" s="13"/>
      <c r="G886" s="13"/>
      <c r="H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2:54" x14ac:dyDescent="0.2">
      <c r="B887" s="13"/>
      <c r="C887" s="13"/>
      <c r="D887" s="13"/>
      <c r="E887" s="13"/>
      <c r="F887" s="13"/>
      <c r="G887" s="13"/>
      <c r="H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2:54" x14ac:dyDescent="0.2">
      <c r="B888" s="13"/>
      <c r="C888" s="13"/>
      <c r="D888" s="13"/>
      <c r="E888" s="13"/>
      <c r="F888" s="13"/>
      <c r="G888" s="13"/>
      <c r="H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2:54" x14ac:dyDescent="0.2">
      <c r="B889" s="13"/>
      <c r="C889" s="13"/>
      <c r="D889" s="13"/>
      <c r="E889" s="13"/>
      <c r="F889" s="13"/>
      <c r="G889" s="13"/>
      <c r="H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2:54" x14ac:dyDescent="0.2">
      <c r="B890" s="13"/>
      <c r="C890" s="13"/>
      <c r="D890" s="13"/>
      <c r="E890" s="13"/>
      <c r="F890" s="13"/>
      <c r="G890" s="13"/>
      <c r="H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2:54" x14ac:dyDescent="0.2">
      <c r="B891" s="13"/>
      <c r="C891" s="13"/>
      <c r="D891" s="13"/>
      <c r="E891" s="13"/>
      <c r="F891" s="13"/>
      <c r="G891" s="13"/>
      <c r="H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2:54" x14ac:dyDescent="0.2">
      <c r="B892" s="13"/>
      <c r="C892" s="13"/>
      <c r="D892" s="13"/>
      <c r="E892" s="13"/>
      <c r="F892" s="13"/>
      <c r="G892" s="13"/>
      <c r="H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2:54" x14ac:dyDescent="0.2">
      <c r="B893" s="13"/>
      <c r="C893" s="13"/>
      <c r="D893" s="13"/>
      <c r="E893" s="13"/>
      <c r="F893" s="13"/>
      <c r="G893" s="13"/>
      <c r="H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2:54" x14ac:dyDescent="0.2">
      <c r="B894" s="13"/>
      <c r="C894" s="13"/>
      <c r="D894" s="13"/>
      <c r="E894" s="13"/>
      <c r="F894" s="13"/>
      <c r="G894" s="13"/>
      <c r="H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2:54" x14ac:dyDescent="0.2">
      <c r="B895" s="13"/>
      <c r="C895" s="13"/>
      <c r="D895" s="13"/>
      <c r="E895" s="13"/>
      <c r="F895" s="13"/>
      <c r="G895" s="13"/>
      <c r="H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2:54" x14ac:dyDescent="0.2">
      <c r="B896" s="13"/>
      <c r="C896" s="13"/>
      <c r="D896" s="13"/>
      <c r="E896" s="13"/>
      <c r="F896" s="13"/>
      <c r="G896" s="13"/>
      <c r="H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2:54" x14ac:dyDescent="0.2">
      <c r="B897" s="13"/>
      <c r="C897" s="13"/>
      <c r="D897" s="13"/>
      <c r="E897" s="13"/>
      <c r="F897" s="13"/>
      <c r="G897" s="13"/>
      <c r="H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2:54" x14ac:dyDescent="0.2">
      <c r="B898" s="13"/>
      <c r="C898" s="13"/>
      <c r="D898" s="13"/>
      <c r="E898" s="13"/>
      <c r="F898" s="13"/>
      <c r="G898" s="13"/>
      <c r="H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2:54" x14ac:dyDescent="0.2">
      <c r="B899" s="13"/>
      <c r="C899" s="13"/>
      <c r="D899" s="13"/>
      <c r="E899" s="13"/>
      <c r="F899" s="13"/>
      <c r="G899" s="13"/>
      <c r="H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2:54" x14ac:dyDescent="0.2">
      <c r="B900" s="2"/>
      <c r="C900" s="2"/>
      <c r="G900" s="5"/>
      <c r="H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2:54" x14ac:dyDescent="0.2">
      <c r="B901" s="2"/>
      <c r="C901" s="2"/>
      <c r="G901" s="5"/>
      <c r="H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2:54" x14ac:dyDescent="0.2">
      <c r="B902" s="2"/>
      <c r="C902" s="2"/>
      <c r="G902" s="5"/>
      <c r="H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2:54" x14ac:dyDescent="0.2">
      <c r="B903" s="2"/>
      <c r="C903" s="2"/>
      <c r="G903" s="5"/>
      <c r="H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2:54" x14ac:dyDescent="0.2">
      <c r="B904" s="2"/>
      <c r="C904" s="2"/>
      <c r="G904" s="5"/>
      <c r="H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 spans="2:54" x14ac:dyDescent="0.2">
      <c r="B905" s="2"/>
      <c r="C905" s="2"/>
      <c r="G905" s="5"/>
      <c r="H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 spans="2:54" x14ac:dyDescent="0.2">
      <c r="B906" s="2"/>
      <c r="C906" s="2"/>
      <c r="G906" s="5"/>
      <c r="H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 spans="2:54" x14ac:dyDescent="0.2">
      <c r="B907" s="2"/>
      <c r="C907" s="2"/>
      <c r="G907" s="5"/>
      <c r="H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 spans="2:54" x14ac:dyDescent="0.2">
      <c r="B908" s="2"/>
      <c r="C908" s="2"/>
      <c r="G908" s="5"/>
      <c r="H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 spans="2:54" x14ac:dyDescent="0.2">
      <c r="B909" s="2"/>
      <c r="C909" s="2"/>
      <c r="G909" s="5"/>
      <c r="H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 spans="2:54" x14ac:dyDescent="0.2">
      <c r="B910" s="2"/>
      <c r="C910" s="2"/>
      <c r="G910" s="5"/>
      <c r="H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 spans="2:54" x14ac:dyDescent="0.2">
      <c r="B911" s="2"/>
      <c r="C911" s="2"/>
      <c r="G911" s="5"/>
      <c r="H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spans="2:54" x14ac:dyDescent="0.2">
      <c r="B912" s="2"/>
      <c r="C912" s="2"/>
      <c r="G912" s="5"/>
      <c r="H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spans="2:54" x14ac:dyDescent="0.2">
      <c r="B913" s="2"/>
      <c r="C913" s="2"/>
      <c r="G913" s="5"/>
      <c r="H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 spans="2:54" x14ac:dyDescent="0.2">
      <c r="B914" s="2"/>
      <c r="C914" s="2"/>
      <c r="G914" s="5"/>
      <c r="H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 spans="2:54" x14ac:dyDescent="0.2">
      <c r="B915" s="2"/>
      <c r="C915" s="2"/>
      <c r="G915" s="5"/>
      <c r="H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 spans="2:54" x14ac:dyDescent="0.2">
      <c r="B916" s="2"/>
      <c r="C916" s="2"/>
      <c r="G916" s="5"/>
      <c r="H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 spans="2:54" x14ac:dyDescent="0.2">
      <c r="B917" s="2"/>
      <c r="C917" s="2"/>
      <c r="G917" s="5"/>
      <c r="H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 spans="2:54" x14ac:dyDescent="0.2">
      <c r="B918" s="2"/>
      <c r="C918" s="2"/>
      <c r="G918" s="5"/>
      <c r="H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 spans="2:54" x14ac:dyDescent="0.2">
      <c r="B919" s="2"/>
      <c r="C919" s="2"/>
      <c r="G919" s="5"/>
      <c r="H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 spans="2:54" x14ac:dyDescent="0.2">
      <c r="B920" s="2"/>
      <c r="C920" s="2"/>
      <c r="G920" s="5"/>
      <c r="H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 spans="2:54" x14ac:dyDescent="0.2">
      <c r="B921" s="2"/>
      <c r="C921" s="2"/>
      <c r="G921" s="5"/>
      <c r="H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 spans="2:54" x14ac:dyDescent="0.2">
      <c r="B922" s="2"/>
      <c r="C922" s="2"/>
      <c r="G922" s="5"/>
      <c r="H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 spans="2:54" x14ac:dyDescent="0.2">
      <c r="B923" s="2"/>
      <c r="C923" s="2"/>
      <c r="G923" s="5"/>
      <c r="H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 spans="2:54" x14ac:dyDescent="0.2">
      <c r="B924" s="2"/>
      <c r="C924" s="2"/>
      <c r="G924" s="5"/>
      <c r="H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 spans="2:54" x14ac:dyDescent="0.2">
      <c r="B925" s="2"/>
      <c r="C925" s="2"/>
      <c r="G925" s="5"/>
      <c r="H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 spans="2:54" x14ac:dyDescent="0.2">
      <c r="B926" s="2"/>
      <c r="C926" s="2"/>
      <c r="G926" s="5"/>
      <c r="H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 spans="2:54" x14ac:dyDescent="0.2">
      <c r="B927" s="2"/>
      <c r="C927" s="2"/>
      <c r="G927" s="5"/>
      <c r="H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 spans="2:54" x14ac:dyDescent="0.2">
      <c r="B928" s="2"/>
      <c r="C928" s="2"/>
      <c r="G928" s="5"/>
      <c r="H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 spans="2:54" x14ac:dyDescent="0.2">
      <c r="B929" s="2"/>
      <c r="C929" s="2"/>
      <c r="G929" s="5"/>
      <c r="H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 spans="2:54" x14ac:dyDescent="0.2">
      <c r="B930" s="2"/>
      <c r="C930" s="2"/>
      <c r="G930" s="5"/>
      <c r="H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 spans="2:54" x14ac:dyDescent="0.2">
      <c r="B931" s="2"/>
      <c r="C931" s="2"/>
      <c r="G931" s="5"/>
      <c r="H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 spans="2:54" x14ac:dyDescent="0.2">
      <c r="B932" s="2"/>
      <c r="C932" s="2"/>
      <c r="G932" s="5"/>
      <c r="H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 spans="2:54" x14ac:dyDescent="0.2">
      <c r="B933" s="2"/>
      <c r="C933" s="2"/>
      <c r="G933" s="5"/>
      <c r="H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 spans="2:54" x14ac:dyDescent="0.2">
      <c r="B934" s="2"/>
      <c r="C934" s="2"/>
      <c r="G934" s="5"/>
      <c r="H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 spans="2:54" x14ac:dyDescent="0.2">
      <c r="B935" s="2"/>
      <c r="C935" s="2"/>
      <c r="G935" s="5"/>
      <c r="H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 spans="2:54" x14ac:dyDescent="0.2">
      <c r="B936" s="2"/>
      <c r="C936" s="2"/>
      <c r="G936" s="5"/>
      <c r="H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 spans="2:54" x14ac:dyDescent="0.2">
      <c r="B937" s="2"/>
      <c r="C937" s="2"/>
      <c r="G937" s="5"/>
      <c r="H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 spans="2:54" x14ac:dyDescent="0.2">
      <c r="B938" s="2"/>
      <c r="C938" s="2"/>
      <c r="G938" s="5"/>
      <c r="H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 spans="2:54" x14ac:dyDescent="0.2">
      <c r="B939" s="2"/>
      <c r="C939" s="2"/>
      <c r="G939" s="5"/>
      <c r="H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 spans="2:54" x14ac:dyDescent="0.2">
      <c r="B940" s="2"/>
      <c r="C940" s="2"/>
      <c r="G940" s="5"/>
      <c r="H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 spans="2:54" x14ac:dyDescent="0.2">
      <c r="B941" s="2"/>
      <c r="C941" s="2"/>
      <c r="G941" s="5"/>
      <c r="H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 spans="2:54" x14ac:dyDescent="0.2">
      <c r="B942" s="2"/>
      <c r="C942" s="2"/>
      <c r="G942" s="5"/>
      <c r="H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 spans="2:54" x14ac:dyDescent="0.2">
      <c r="B943" s="2"/>
      <c r="C943" s="2"/>
      <c r="G943" s="5"/>
      <c r="H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 spans="2:54" x14ac:dyDescent="0.2">
      <c r="B944" s="2"/>
      <c r="C944" s="2"/>
      <c r="G944" s="5"/>
      <c r="H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 spans="2:54" x14ac:dyDescent="0.2">
      <c r="B945" s="2"/>
      <c r="C945" s="2"/>
      <c r="G945" s="5"/>
      <c r="H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 spans="2:54" x14ac:dyDescent="0.2">
      <c r="B946" s="2"/>
      <c r="C946" s="2"/>
      <c r="G946" s="5"/>
      <c r="H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 spans="2:54" x14ac:dyDescent="0.2">
      <c r="B947" s="2"/>
      <c r="C947" s="2"/>
      <c r="G947" s="5"/>
      <c r="H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 spans="2:54" x14ac:dyDescent="0.2">
      <c r="B948" s="2"/>
      <c r="C948" s="2"/>
      <c r="G948" s="5"/>
      <c r="H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 spans="2:54" x14ac:dyDescent="0.2">
      <c r="B949" s="2"/>
      <c r="C949" s="2"/>
      <c r="G949" s="5"/>
      <c r="H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 spans="2:54" x14ac:dyDescent="0.2">
      <c r="B950" s="2"/>
      <c r="C950" s="2"/>
      <c r="G950" s="5"/>
      <c r="H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 spans="2:54" x14ac:dyDescent="0.2">
      <c r="B951" s="2"/>
      <c r="C951" s="2"/>
      <c r="G951" s="5"/>
      <c r="H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 spans="2:54" x14ac:dyDescent="0.2">
      <c r="B952" s="2"/>
      <c r="C952" s="2"/>
      <c r="G952" s="5"/>
      <c r="H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 spans="2:54" x14ac:dyDescent="0.2">
      <c r="B953" s="2"/>
      <c r="C953" s="2"/>
      <c r="G953" s="5"/>
      <c r="H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 spans="2:54" x14ac:dyDescent="0.2">
      <c r="B954" s="2"/>
      <c r="C954" s="2"/>
      <c r="G954" s="5"/>
      <c r="H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 spans="2:54" x14ac:dyDescent="0.2">
      <c r="B955" s="2"/>
      <c r="C955" s="2"/>
      <c r="G955" s="5"/>
      <c r="H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 spans="2:54" x14ac:dyDescent="0.2">
      <c r="B956" s="2"/>
      <c r="C956" s="2"/>
      <c r="G956" s="5"/>
      <c r="H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 spans="2:54" x14ac:dyDescent="0.2">
      <c r="B957" s="2"/>
      <c r="C957" s="2"/>
      <c r="G957" s="5"/>
      <c r="H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 spans="2:54" x14ac:dyDescent="0.2">
      <c r="B958" s="2"/>
      <c r="C958" s="2"/>
      <c r="G958" s="5"/>
      <c r="H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 spans="2:54" x14ac:dyDescent="0.2">
      <c r="B959" s="2"/>
      <c r="C959" s="2"/>
      <c r="G959" s="5"/>
      <c r="H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 spans="2:54" x14ac:dyDescent="0.2">
      <c r="B960" s="2"/>
      <c r="C960" s="2"/>
      <c r="G960" s="5"/>
      <c r="H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 spans="2:54" x14ac:dyDescent="0.2">
      <c r="B961" s="2"/>
      <c r="C961" s="2"/>
      <c r="G961" s="5"/>
      <c r="H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 spans="2:54" x14ac:dyDescent="0.2">
      <c r="B962" s="2"/>
      <c r="C962" s="2"/>
      <c r="G962" s="5"/>
      <c r="H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 spans="2:54" x14ac:dyDescent="0.2">
      <c r="B963" s="2"/>
      <c r="C963" s="2"/>
      <c r="G963" s="5"/>
      <c r="H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 spans="2:54" x14ac:dyDescent="0.2">
      <c r="B964" s="2"/>
      <c r="C964" s="2"/>
      <c r="G964" s="5"/>
      <c r="H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 spans="2:54" x14ac:dyDescent="0.2">
      <c r="B965" s="2"/>
      <c r="C965" s="2"/>
      <c r="G965" s="5"/>
      <c r="H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 spans="2:54" x14ac:dyDescent="0.2">
      <c r="B966" s="2"/>
      <c r="C966" s="2"/>
      <c r="G966" s="5"/>
      <c r="H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 spans="2:54" x14ac:dyDescent="0.2">
      <c r="B967" s="2"/>
      <c r="C967" s="2"/>
      <c r="G967" s="5"/>
      <c r="H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 spans="2:54" x14ac:dyDescent="0.2">
      <c r="B968" s="2"/>
      <c r="C968" s="2"/>
      <c r="G968" s="5"/>
      <c r="H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spans="2:54" x14ac:dyDescent="0.2">
      <c r="B969" s="2"/>
      <c r="C969" s="2"/>
      <c r="G969" s="5"/>
      <c r="H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spans="2:54" x14ac:dyDescent="0.2">
      <c r="B970" s="2"/>
      <c r="C970" s="2"/>
      <c r="G970" s="5"/>
      <c r="H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 spans="2:54" x14ac:dyDescent="0.2">
      <c r="B971" s="2"/>
      <c r="C971" s="2"/>
      <c r="G971" s="5"/>
      <c r="H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 spans="2:54" x14ac:dyDescent="0.2">
      <c r="B972" s="2"/>
      <c r="C972" s="2"/>
      <c r="G972" s="5"/>
      <c r="H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 spans="2:54" x14ac:dyDescent="0.2">
      <c r="B973" s="2"/>
      <c r="C973" s="2"/>
      <c r="G973" s="5"/>
      <c r="H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 spans="2:54" x14ac:dyDescent="0.2">
      <c r="B974" s="2"/>
      <c r="C974" s="2"/>
      <c r="G974" s="5"/>
      <c r="H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 spans="2:54" x14ac:dyDescent="0.2">
      <c r="B975" s="2"/>
      <c r="C975" s="2"/>
      <c r="G975" s="5"/>
      <c r="H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 spans="2:54" x14ac:dyDescent="0.2">
      <c r="B976" s="2"/>
      <c r="C976" s="2"/>
      <c r="G976" s="5"/>
      <c r="H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 spans="2:54" x14ac:dyDescent="0.2">
      <c r="B977" s="2"/>
      <c r="C977" s="2"/>
      <c r="G977" s="5"/>
      <c r="H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 spans="2:54" x14ac:dyDescent="0.2">
      <c r="B978" s="2"/>
      <c r="C978" s="2"/>
      <c r="G978" s="5"/>
      <c r="H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 spans="2:54" x14ac:dyDescent="0.2">
      <c r="B979" s="2"/>
      <c r="C979" s="2"/>
      <c r="G979" s="5"/>
      <c r="H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 spans="2:54" x14ac:dyDescent="0.2">
      <c r="B980" s="2"/>
      <c r="C980" s="2"/>
      <c r="G980" s="5"/>
      <c r="H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 spans="2:54" x14ac:dyDescent="0.2">
      <c r="B981" s="2"/>
      <c r="C981" s="2"/>
      <c r="G981" s="5"/>
      <c r="H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 spans="2:54" x14ac:dyDescent="0.2">
      <c r="B982" s="2"/>
      <c r="C982" s="2"/>
      <c r="G982" s="5"/>
      <c r="H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 spans="2:54" x14ac:dyDescent="0.2">
      <c r="B983" s="2"/>
      <c r="C983" s="2"/>
      <c r="G983" s="5"/>
      <c r="H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 spans="2:54" x14ac:dyDescent="0.2">
      <c r="B984" s="2"/>
      <c r="C984" s="2"/>
      <c r="G984" s="5"/>
      <c r="H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 spans="2:54" x14ac:dyDescent="0.2">
      <c r="B985" s="2"/>
      <c r="C985" s="2"/>
      <c r="G985" s="5"/>
      <c r="H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 spans="2:54" x14ac:dyDescent="0.2">
      <c r="B986" s="2"/>
      <c r="C986" s="2"/>
      <c r="G986" s="5"/>
      <c r="H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 spans="2:54" x14ac:dyDescent="0.2">
      <c r="B987" s="2"/>
      <c r="C987" s="2"/>
      <c r="G987" s="5"/>
      <c r="H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 spans="2:54" x14ac:dyDescent="0.2">
      <c r="B988" s="2"/>
      <c r="C988" s="2"/>
      <c r="G988" s="5"/>
      <c r="H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 spans="2:54" x14ac:dyDescent="0.2">
      <c r="B989" s="2"/>
      <c r="C989" s="2"/>
      <c r="G989" s="5"/>
      <c r="H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 spans="2:54" x14ac:dyDescent="0.2">
      <c r="B990" s="2"/>
      <c r="C990" s="2"/>
      <c r="G990" s="5"/>
      <c r="H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 spans="2:54" x14ac:dyDescent="0.2">
      <c r="B991" s="2"/>
      <c r="C991" s="2"/>
      <c r="G991" s="5"/>
      <c r="H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 spans="2:54" x14ac:dyDescent="0.2">
      <c r="B992" s="2"/>
      <c r="C992" s="2"/>
      <c r="G992" s="5"/>
      <c r="H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 spans="2:54" x14ac:dyDescent="0.2">
      <c r="B993" s="2"/>
      <c r="C993" s="2"/>
      <c r="G993" s="5"/>
      <c r="H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 spans="2:54" x14ac:dyDescent="0.2">
      <c r="B994" s="2"/>
      <c r="C994" s="2"/>
      <c r="G994" s="5"/>
      <c r="H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 spans="2:54" x14ac:dyDescent="0.2">
      <c r="B995" s="2"/>
      <c r="C995" s="2"/>
      <c r="G995" s="5"/>
      <c r="H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 spans="2:54" x14ac:dyDescent="0.2">
      <c r="B996" s="2"/>
      <c r="C996" s="2"/>
      <c r="G996" s="5"/>
      <c r="H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 spans="2:54" x14ac:dyDescent="0.2">
      <c r="B997" s="2"/>
      <c r="C997" s="2"/>
      <c r="G997" s="5"/>
      <c r="H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 spans="2:54" x14ac:dyDescent="0.2">
      <c r="B998" s="2"/>
      <c r="C998" s="2"/>
      <c r="G998" s="5"/>
      <c r="H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 spans="2:54" x14ac:dyDescent="0.2">
      <c r="B999" s="2"/>
      <c r="C999" s="2"/>
      <c r="G999" s="5"/>
      <c r="H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 spans="2:54" x14ac:dyDescent="0.2">
      <c r="B1000" s="2"/>
      <c r="C1000" s="2"/>
      <c r="G1000" s="5"/>
      <c r="H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  <row r="1001" spans="2:54" x14ac:dyDescent="0.2">
      <c r="B1001" s="2"/>
      <c r="C1001" s="2"/>
      <c r="G1001" s="5"/>
      <c r="H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</row>
    <row r="1002" spans="2:54" x14ac:dyDescent="0.2">
      <c r="B1002" s="2"/>
      <c r="C1002" s="2"/>
      <c r="G1002" s="5"/>
      <c r="H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</row>
    <row r="1003" spans="2:54" x14ac:dyDescent="0.2">
      <c r="B1003" s="2"/>
      <c r="C1003" s="2"/>
      <c r="G1003" s="5"/>
      <c r="H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</row>
    <row r="1004" spans="2:54" x14ac:dyDescent="0.2">
      <c r="B1004" s="2"/>
      <c r="C1004" s="2"/>
      <c r="G1004" s="5"/>
      <c r="H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</row>
    <row r="1005" spans="2:54" x14ac:dyDescent="0.2">
      <c r="B1005" s="2"/>
      <c r="C1005" s="2"/>
      <c r="G1005" s="5"/>
      <c r="H1005" s="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</row>
    <row r="1006" spans="2:54" x14ac:dyDescent="0.2">
      <c r="B1006" s="2"/>
      <c r="C1006" s="2"/>
      <c r="G1006" s="5"/>
      <c r="H1006" s="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</row>
    <row r="1007" spans="2:54" x14ac:dyDescent="0.2">
      <c r="B1007" s="2"/>
      <c r="C1007" s="2"/>
      <c r="G1007" s="5"/>
      <c r="H1007" s="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</row>
    <row r="1008" spans="2:54" x14ac:dyDescent="0.2">
      <c r="B1008" s="2"/>
      <c r="C1008" s="2"/>
      <c r="G1008" s="5"/>
      <c r="H1008" s="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</row>
    <row r="1009" spans="2:54" x14ac:dyDescent="0.2">
      <c r="B1009" s="2"/>
      <c r="C1009" s="2"/>
      <c r="G1009" s="5"/>
      <c r="H1009" s="2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</row>
    <row r="1010" spans="2:54" x14ac:dyDescent="0.2">
      <c r="B1010" s="2"/>
      <c r="C1010" s="2"/>
      <c r="G1010" s="5"/>
      <c r="H1010" s="2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</row>
    <row r="1011" spans="2:54" x14ac:dyDescent="0.2">
      <c r="B1011" s="2"/>
      <c r="C1011" s="2"/>
      <c r="G1011" s="5"/>
      <c r="H1011" s="2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</row>
    <row r="1012" spans="2:54" x14ac:dyDescent="0.2">
      <c r="B1012" s="2"/>
      <c r="C1012" s="2"/>
      <c r="G1012" s="5"/>
      <c r="H1012" s="2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</row>
    <row r="1013" spans="2:54" x14ac:dyDescent="0.2">
      <c r="B1013" s="2"/>
      <c r="C1013" s="2"/>
      <c r="G1013" s="5"/>
      <c r="H1013" s="2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</row>
    <row r="1014" spans="2:54" x14ac:dyDescent="0.2">
      <c r="B1014" s="2"/>
      <c r="C1014" s="2"/>
      <c r="G1014" s="5"/>
      <c r="H1014" s="2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</row>
    <row r="1015" spans="2:54" x14ac:dyDescent="0.2">
      <c r="B1015" s="2"/>
      <c r="C1015" s="2"/>
      <c r="G1015" s="5"/>
      <c r="H1015" s="2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</row>
    <row r="1016" spans="2:54" x14ac:dyDescent="0.2">
      <c r="B1016" s="2"/>
      <c r="C1016" s="2"/>
      <c r="G1016" s="5"/>
      <c r="H1016" s="2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</row>
    <row r="1017" spans="2:54" x14ac:dyDescent="0.2">
      <c r="B1017" s="2"/>
      <c r="C1017" s="2"/>
      <c r="G1017" s="5"/>
      <c r="H1017" s="2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</row>
    <row r="1018" spans="2:54" x14ac:dyDescent="0.2">
      <c r="B1018" s="2"/>
      <c r="C1018" s="2"/>
      <c r="G1018" s="5"/>
      <c r="H1018" s="2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</row>
    <row r="1019" spans="2:54" x14ac:dyDescent="0.2">
      <c r="B1019" s="2"/>
      <c r="C1019" s="2"/>
      <c r="G1019" s="5"/>
      <c r="H1019" s="2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</row>
    <row r="1020" spans="2:54" x14ac:dyDescent="0.2">
      <c r="B1020" s="2"/>
      <c r="C1020" s="2"/>
      <c r="G1020" s="5"/>
      <c r="H1020" s="2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</row>
    <row r="1021" spans="2:54" x14ac:dyDescent="0.2">
      <c r="B1021" s="2"/>
      <c r="C1021" s="2"/>
      <c r="G1021" s="5"/>
      <c r="H1021" s="2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</row>
    <row r="1022" spans="2:54" x14ac:dyDescent="0.2">
      <c r="B1022" s="2"/>
      <c r="C1022" s="2"/>
      <c r="G1022" s="5"/>
      <c r="H1022" s="2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</row>
    <row r="1023" spans="2:54" x14ac:dyDescent="0.2">
      <c r="B1023" s="2"/>
      <c r="C1023" s="2"/>
      <c r="G1023" s="5"/>
      <c r="H1023" s="2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</row>
    <row r="1024" spans="2:54" x14ac:dyDescent="0.2">
      <c r="B1024" s="2"/>
      <c r="C1024" s="2"/>
      <c r="G1024" s="5"/>
      <c r="H1024" s="2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</row>
    <row r="1025" spans="2:54" x14ac:dyDescent="0.2">
      <c r="B1025" s="2"/>
      <c r="C1025" s="2"/>
      <c r="G1025" s="5"/>
      <c r="H1025" s="2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</row>
    <row r="1026" spans="2:54" x14ac:dyDescent="0.2">
      <c r="B1026" s="2"/>
      <c r="C1026" s="2"/>
      <c r="G1026" s="5"/>
      <c r="H1026" s="2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</row>
    <row r="1027" spans="2:54" x14ac:dyDescent="0.2">
      <c r="B1027" s="2"/>
      <c r="C1027" s="2"/>
      <c r="G1027" s="5"/>
      <c r="H1027" s="2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</row>
    <row r="1028" spans="2:54" x14ac:dyDescent="0.2">
      <c r="B1028" s="2"/>
      <c r="C1028" s="2"/>
      <c r="G1028" s="5"/>
      <c r="H1028" s="2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</row>
    <row r="1029" spans="2:54" x14ac:dyDescent="0.2">
      <c r="B1029" s="2"/>
      <c r="C1029" s="2"/>
      <c r="G1029" s="5"/>
      <c r="H1029" s="2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</row>
    <row r="1030" spans="2:54" x14ac:dyDescent="0.2">
      <c r="B1030" s="2"/>
      <c r="C1030" s="2"/>
      <c r="G1030" s="5"/>
      <c r="H1030" s="2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</row>
    <row r="1031" spans="2:54" x14ac:dyDescent="0.2">
      <c r="B1031" s="2"/>
      <c r="C1031" s="2"/>
      <c r="G1031" s="5"/>
      <c r="H1031" s="2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</row>
    <row r="1032" spans="2:54" x14ac:dyDescent="0.2">
      <c r="B1032" s="2"/>
      <c r="C1032" s="2"/>
      <c r="G1032" s="5"/>
      <c r="H1032" s="2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</row>
    <row r="1033" spans="2:54" x14ac:dyDescent="0.2">
      <c r="B1033" s="2"/>
      <c r="C1033" s="2"/>
      <c r="G1033" s="5"/>
      <c r="H1033" s="2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</row>
    <row r="1034" spans="2:54" x14ac:dyDescent="0.2">
      <c r="B1034" s="2"/>
      <c r="C1034" s="2"/>
      <c r="G1034" s="5"/>
      <c r="H1034" s="2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</row>
    <row r="1035" spans="2:54" x14ac:dyDescent="0.2">
      <c r="B1035" s="2"/>
      <c r="C1035" s="2"/>
      <c r="G1035" s="5"/>
      <c r="H1035" s="2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</row>
    <row r="1036" spans="2:54" x14ac:dyDescent="0.2">
      <c r="B1036" s="2"/>
      <c r="C1036" s="2"/>
      <c r="G1036" s="5"/>
      <c r="H1036" s="2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</row>
    <row r="1037" spans="2:54" x14ac:dyDescent="0.2">
      <c r="B1037" s="2"/>
      <c r="C1037" s="2"/>
      <c r="G1037" s="5"/>
      <c r="H1037" s="2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</row>
    <row r="1038" spans="2:54" x14ac:dyDescent="0.2">
      <c r="B1038" s="2"/>
      <c r="C1038" s="2"/>
      <c r="G1038" s="5"/>
      <c r="H1038" s="2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</row>
    <row r="1039" spans="2:54" x14ac:dyDescent="0.2">
      <c r="B1039" s="2"/>
      <c r="C1039" s="2"/>
      <c r="G1039" s="5"/>
      <c r="H1039" s="2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</row>
    <row r="1040" spans="2:54" x14ac:dyDescent="0.2">
      <c r="B1040" s="2"/>
      <c r="C1040" s="2"/>
      <c r="G1040" s="5"/>
      <c r="H1040" s="2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</row>
    <row r="1041" spans="2:54" x14ac:dyDescent="0.2">
      <c r="B1041" s="2"/>
      <c r="C1041" s="2"/>
      <c r="G1041" s="5"/>
      <c r="H1041" s="2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</row>
    <row r="1042" spans="2:54" x14ac:dyDescent="0.2">
      <c r="B1042" s="2"/>
      <c r="C1042" s="2"/>
      <c r="G1042" s="5"/>
      <c r="H1042" s="2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</row>
    <row r="1043" spans="2:54" x14ac:dyDescent="0.2">
      <c r="B1043" s="2"/>
      <c r="C1043" s="2"/>
      <c r="G1043" s="5"/>
      <c r="H1043" s="2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</row>
    <row r="1044" spans="2:54" x14ac:dyDescent="0.2">
      <c r="B1044" s="2"/>
      <c r="C1044" s="2"/>
      <c r="G1044" s="5"/>
      <c r="H1044" s="2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</row>
    <row r="1045" spans="2:54" x14ac:dyDescent="0.2">
      <c r="B1045" s="2"/>
      <c r="C1045" s="2"/>
      <c r="G1045" s="5"/>
      <c r="H1045" s="2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</row>
    <row r="1046" spans="2:54" x14ac:dyDescent="0.2">
      <c r="B1046" s="2"/>
      <c r="C1046" s="2"/>
      <c r="G1046" s="5"/>
    </row>
    <row r="1047" spans="2:54" x14ac:dyDescent="0.2">
      <c r="B1047" s="2"/>
      <c r="C1047" s="2"/>
      <c r="G1047" s="5"/>
    </row>
    <row r="1048" spans="2:54" x14ac:dyDescent="0.2">
      <c r="B1048" s="2"/>
      <c r="C1048" s="2"/>
      <c r="G1048" s="5"/>
    </row>
    <row r="1049" spans="2:54" x14ac:dyDescent="0.2">
      <c r="B1049" s="2"/>
      <c r="C1049" s="2"/>
      <c r="G1049" s="5"/>
    </row>
    <row r="1050" spans="2:54" x14ac:dyDescent="0.2">
      <c r="B1050" s="2"/>
      <c r="C1050" s="2"/>
      <c r="G1050" s="5"/>
    </row>
    <row r="1051" spans="2:54" x14ac:dyDescent="0.2">
      <c r="B1051" s="2"/>
      <c r="C1051" s="2"/>
      <c r="G1051" s="5"/>
    </row>
  </sheetData>
  <mergeCells count="9">
    <mergeCell ref="B57:G57"/>
    <mergeCell ref="B1:C1"/>
    <mergeCell ref="E1:H1"/>
    <mergeCell ref="B2:C2"/>
    <mergeCell ref="D2:E2"/>
    <mergeCell ref="F2:H2"/>
    <mergeCell ref="B3:C3"/>
    <mergeCell ref="D3:E3"/>
    <mergeCell ref="F3:H3"/>
  </mergeCells>
  <conditionalFormatting sqref="H57">
    <cfRule type="expression" dxfId="0" priority="1" stopIfTrue="1">
      <formula>"sum="</formula>
    </cfRule>
  </conditionalFormatting>
  <hyperlinks>
    <hyperlink ref="I9" r:id="rId1" xr:uid="{85EA6EAD-166E-43D3-96EF-22CCB0901EAF}"/>
    <hyperlink ref="I13" r:id="rId2" location="/631-rozmery-1_60_x_2_40" xr:uid="{C78B46B6-1AD2-498E-A7FE-0E30CEE66BEB}"/>
    <hyperlink ref="I19" r:id="rId3" xr:uid="{698474BD-A800-40C6-A9B2-BC1CEC1C8033}"/>
    <hyperlink ref="I48" r:id="rId4" xr:uid="{66D35C5A-C46A-4AC3-83AF-8F9853F9BB74}"/>
    <hyperlink ref="I30" r:id="rId5" xr:uid="{91A572B6-7AFB-4476-97FB-0EF0DE954699}"/>
    <hyperlink ref="I42" r:id="rId6" xr:uid="{8CCC1CC8-CBC0-4FDF-B5B3-90BFC99DADF8}"/>
    <hyperlink ref="I42:K42" r:id="rId7" display="stolička" xr:uid="{F8FB37E5-989E-4E11-939D-F041435B2A11}"/>
    <hyperlink ref="I36" r:id="rId8" xr:uid="{CC37C928-1AB9-4335-A47D-DB839300C342}"/>
    <hyperlink ref="I25" r:id="rId9" xr:uid="{C0261B67-40C7-45B8-A57B-D754E82C233A}"/>
  </hyperlinks>
  <pageMargins left="0.23622047244094491" right="0.23622047244094491" top="0.35433070866141736" bottom="0.35433070866141736" header="0.31496062992125984" footer="0.31496062992125984"/>
  <pageSetup paperSize="9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IKUŠKA</dc:creator>
  <cp:lastModifiedBy>Miriam Czompoly</cp:lastModifiedBy>
  <cp:lastPrinted>2026-06-29T12:27:56Z</cp:lastPrinted>
  <dcterms:created xsi:type="dcterms:W3CDTF">2010-04-27T08:35:43Z</dcterms:created>
  <dcterms:modified xsi:type="dcterms:W3CDTF">2026-06-29T13:09:16Z</dcterms:modified>
</cp:coreProperties>
</file>